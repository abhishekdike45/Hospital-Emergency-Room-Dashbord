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dmin\Desktop\project\hospital emergency room\"/>
    </mc:Choice>
  </mc:AlternateContent>
  <xr:revisionPtr revIDLastSave="0" documentId="8_{1970F933-AA5C-4F14-80CF-19CCE3EC6CE0}" xr6:coauthVersionLast="47" xr6:coauthVersionMax="47" xr10:uidLastSave="{00000000-0000-0000-0000-000000000000}"/>
  <bookViews>
    <workbookView xWindow="-110" yWindow="-110" windowWidth="19420" windowHeight="10300" activeTab="1" xr2:uid="{92D9164A-D50E-4F50-9B53-B1B88F6DB6B9}"/>
  </bookViews>
  <sheets>
    <sheet name="Pivot Rport" sheetId="4" r:id="rId1"/>
    <sheet name="Dashbord" sheetId="6" r:id="rId2"/>
  </sheets>
  <definedNames>
    <definedName name="Slicer_Date__Month">#N/A</definedName>
    <definedName name="Slicer_Date__Year">#N/A</definedName>
  </definedNames>
  <calcPr calcId="191029"/>
  <pivotCaches>
    <pivotCache cacheId="0" r:id="rId3"/>
    <pivotCache cacheId="14" r:id="rId4"/>
    <pivotCache cacheId="17" r:id="rId5"/>
    <pivotCache cacheId="20" r:id="rId6"/>
    <pivotCache cacheId="23" r:id="rId7"/>
    <pivotCache cacheId="26" r:id="rId8"/>
    <pivotCache cacheId="29" r:id="rId9"/>
    <pivotCache cacheId="32" r:id="rId10"/>
    <pivotCache cacheId="35" r:id="rId11"/>
    <pivotCache cacheId="38" r:id="rId12"/>
  </pivotCaches>
  <extLst>
    <ext xmlns:x14="http://schemas.microsoft.com/office/spreadsheetml/2009/9/main" uri="{876F7934-8845-4945-9796-88D515C7AA90}">
      <x14:pivotCaches>
        <pivotCache cacheId="10" r:id="rId13"/>
        <pivotCache cacheId="11"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c7290755-0608-4295-90f2-fd972903f6f1" name="Hospital Emergency Room Data" connection="Query - Hospital Emergency Room Data"/>
          <x15:modelTable id="Calendar_Table_d22fd5b5-64c9-47be-8c13-dc536dd42d9b"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5" i="4" l="1"/>
  <c r="G15" i="4"/>
  <c r="H15" i="4"/>
  <c r="F14" i="4"/>
  <c r="G14" i="4"/>
  <c r="H1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2D17F8-E65B-49D3-85C9-BDF0AACA203E}" name="Query - Calendar_Table" description="Connection to the 'Calendar_Table' query in the workbook." type="100" refreshedVersion="8" minRefreshableVersion="5">
    <extLst>
      <ext xmlns:x15="http://schemas.microsoft.com/office/spreadsheetml/2010/11/main" uri="{DE250136-89BD-433C-8126-D09CA5730AF9}">
        <x15:connection id="67ed0a1f-eb45-43c8-b38f-4c3d3522320b"/>
      </ext>
    </extLst>
  </connection>
  <connection id="2" xr16:uid="{240578D9-E740-49B6-8E95-221720B4FE54}"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6b773033-a1d7-40f7-a857-9fc7ae64717b"/>
      </ext>
    </extLst>
  </connection>
  <connection id="3" xr16:uid="{CA714F12-9AA8-481A-AECE-81951405B69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<sst xmlns="http://schemas.openxmlformats.org/spreadsheetml/2006/main" count="50" uniqueCount="36">
  <si>
    <t>Count of Patient Id</t>
  </si>
  <si>
    <t>no- patent</t>
  </si>
  <si>
    <t>Average of Patient Waittime</t>
  </si>
  <si>
    <t>Average of Patient Satisfaction Score</t>
  </si>
  <si>
    <t>Row Labels</t>
  </si>
  <si>
    <t>Grand Total</t>
  </si>
  <si>
    <t>Admited</t>
  </si>
  <si>
    <t>Not Admited</t>
  </si>
  <si>
    <t>Count of Patient Admission Flag</t>
  </si>
  <si>
    <t>Count of Patient Admission Flag2</t>
  </si>
  <si>
    <t>Admission Status</t>
  </si>
  <si>
    <t>%status</t>
  </si>
  <si>
    <t>Patient</t>
  </si>
  <si>
    <t>10-19</t>
  </si>
  <si>
    <t>20-29</t>
  </si>
  <si>
    <t>30-39</t>
  </si>
  <si>
    <t>40-49</t>
  </si>
  <si>
    <t>50-59</t>
  </si>
  <si>
    <t>60-69</t>
  </si>
  <si>
    <t>70-79</t>
  </si>
  <si>
    <t>Count of Age_Grouap</t>
  </si>
  <si>
    <t>Deelay</t>
  </si>
  <si>
    <t>Ontime</t>
  </si>
  <si>
    <t>Count of Patiebt attent sattus</t>
  </si>
  <si>
    <t>Female</t>
  </si>
  <si>
    <t>Male</t>
  </si>
  <si>
    <t>Count of Patient Gender</t>
  </si>
  <si>
    <t>Cardiology</t>
  </si>
  <si>
    <t>Gastroenterology</t>
  </si>
  <si>
    <t>General Practice</t>
  </si>
  <si>
    <t>Neurology</t>
  </si>
  <si>
    <t>None</t>
  </si>
  <si>
    <t>Orthopedics</t>
  </si>
  <si>
    <t>Physiotherapy</t>
  </si>
  <si>
    <t>Renal</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</si>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</sst>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11"/>
      <color theme="1"/>
      <name val="Aptos Narrow"/>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0" tint="-0.499984740745262"/>
        <bgColor indexed="64"/>
      </patternFill>
    </fill>
    <fill>
      <patternFill patternType="solid">
        <fgColor theme="4" tint="0.59999389629810485"/>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applyNumberFormat="1"/>
    <xf numFmtId="2" fontId="0" fillId="0" borderId="0" xfId="0" applyNumberFormat="1"/>
    <xf numFmtId="0" fontId="0" fillId="2" borderId="0" xfId="0" applyFill="1"/>
    <xf numFmtId="0" fontId="0" fillId="0" borderId="0" xfId="0" pivotButton="1"/>
    <xf numFmtId="14" fontId="0" fillId="0" borderId="0" xfId="0" applyNumberFormat="1" applyAlignment="1">
      <alignment horizontal="left"/>
    </xf>
    <xf numFmtId="0" fontId="0" fillId="0" borderId="0" xfId="0" applyAlignment="1">
      <alignment horizontal="left"/>
    </xf>
    <xf numFmtId="0" fontId="0" fillId="3" borderId="0" xfId="0" applyFill="1"/>
    <xf numFmtId="10" fontId="0" fillId="0" borderId="0" xfId="0" applyNumberFormat="1"/>
    <xf numFmtId="9" fontId="0" fillId="0" borderId="0" xfId="1" applyFont="1"/>
    <xf numFmtId="0" fontId="0" fillId="4" borderId="0" xfId="0" applyFill="1"/>
    <xf numFmtId="0" fontId="0" fillId="4" borderId="0" xfId="0" applyFill="1" applyAlignment="1">
      <alignment horizontal="left"/>
    </xf>
    <xf numFmtId="1" fontId="0" fillId="0" borderId="0" xfId="1" applyNumberFormat="1" applyFont="1"/>
    <xf numFmtId="1" fontId="0" fillId="0" borderId="0" xfId="0" applyNumberFormat="1"/>
  </cellXfs>
  <cellStyles count="2">
    <cellStyle name="Normal" xfId="0" builtinId="0"/>
    <cellStyle name="Percent" xfId="1" builtinId="5"/>
  </cellStyles>
  <dxfs count="19">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14"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font>
        <b/>
        <color theme="1"/>
      </font>
      <border>
        <bottom style="thin">
          <color theme="7"/>
        </bottom>
        <vertical/>
        <horizontal/>
      </border>
    </dxf>
    <dxf>
      <font>
        <sz val="8"/>
        <color theme="1"/>
      </font>
      <fill>
        <gradientFill degree="90">
          <stop position="0">
            <color theme="0"/>
          </stop>
          <stop position="1">
            <color theme="0" tint="-0.1490218817712943"/>
          </stop>
        </gradientFill>
      </fill>
      <border diagonalUp="0" diagonalDown="0">
        <left/>
        <right/>
        <top/>
        <bottom/>
        <vertical/>
        <horizontal/>
      </border>
    </dxf>
  </dxfs>
  <tableStyles count="1" defaultTableStyle="TableStyleMedium2" defaultPivotStyle="PivotStyleLight16">
    <tableStyle name="my syle" pivot="0" table="0" count="10" xr9:uid="{721A1702-53DA-41F6-994F-EAD2BADA0BDC}">
      <tableStyleElement type="wholeTable" dxfId="18"/>
      <tableStyleElement type="headerRow" dxfId="1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8.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Dashobord.xlsx]Pivot Rport!PivotTable5</c:name>
    <c:fmtId val="2"/>
  </c:pivotSource>
  <c:chart>
    <c:autoTitleDeleted val="0"/>
    <c:pivotFmts>
      <c:pivotFmt>
        <c:idx val="0"/>
        <c:spPr>
          <a:solidFill>
            <a:schemeClr val="accent1"/>
          </a:solidFill>
          <a:ln cmpd="sng">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cmpd="sng">
            <a:solidFill>
              <a:schemeClr val="bg1"/>
            </a:solidFill>
          </a:ln>
          <a:effectLst/>
        </c:spPr>
      </c:pivotFmt>
      <c:pivotFmt>
        <c:idx val="3"/>
        <c:spPr>
          <a:solidFill>
            <a:schemeClr val="accent1"/>
          </a:solidFill>
          <a:ln cmpd="sng">
            <a:solidFill>
              <a:schemeClr val="bg1"/>
            </a:solidFill>
          </a:ln>
          <a:effectLst/>
        </c:spPr>
      </c:pivotFmt>
    </c:pivotFmts>
    <c:plotArea>
      <c:layout/>
      <c:barChart>
        <c:barDir val="bar"/>
        <c:grouping val="clustered"/>
        <c:varyColors val="0"/>
        <c:ser>
          <c:idx val="0"/>
          <c:order val="0"/>
          <c:tx>
            <c:strRef>
              <c:f>'Pivot Rport'!$G$7</c:f>
              <c:strCache>
                <c:ptCount val="1"/>
                <c:pt idx="0">
                  <c:v>Count of Patient Admission Flag2</c:v>
                </c:pt>
              </c:strCache>
            </c:strRef>
          </c:tx>
          <c:spPr>
            <a:solidFill>
              <a:schemeClr val="accent1"/>
            </a:solidFill>
            <a:ln cmpd="sng">
              <a:solidFill>
                <a:schemeClr val="bg1"/>
              </a:solidFill>
            </a:ln>
            <a:effectLst/>
          </c:spPr>
          <c:invertIfNegative val="0"/>
          <c:dLbls>
            <c:spPr>
              <a:noFill/>
              <a:ln>
                <a:noFill/>
              </a:ln>
              <a:effectLst/>
            </c:spPr>
            <c:txPr>
              <a:bodyPr rot="0" spcFirstLastPara="1" vertOverflow="ellipsis" vert="horz" wrap="square" anchor="ctr" anchorCtr="1"/>
              <a:lstStyle/>
              <a:p>
                <a:pPr>
                  <a:defRPr sz="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Rport'!$F$8:$F$10</c:f>
              <c:strCache>
                <c:ptCount val="2"/>
                <c:pt idx="0">
                  <c:v>Admited</c:v>
                </c:pt>
                <c:pt idx="1">
                  <c:v>Not Admited</c:v>
                </c:pt>
              </c:strCache>
            </c:strRef>
          </c:cat>
          <c:val>
            <c:numRef>
              <c:f>'Pivot Rport'!$G$8:$G$10</c:f>
              <c:numCache>
                <c:formatCode>0.00</c:formatCode>
                <c:ptCount val="2"/>
                <c:pt idx="0">
                  <c:v>234</c:v>
                </c:pt>
                <c:pt idx="1">
                  <c:v>260</c:v>
                </c:pt>
              </c:numCache>
            </c:numRef>
          </c:val>
          <c:extLst>
            <c:ext xmlns:c16="http://schemas.microsoft.com/office/drawing/2014/chart" uri="{C3380CC4-5D6E-409C-BE32-E72D297353CC}">
              <c16:uniqueId val="{00000002-EC18-46F7-B436-B94C0690DB94}"/>
            </c:ext>
          </c:extLst>
        </c:ser>
        <c:ser>
          <c:idx val="1"/>
          <c:order val="1"/>
          <c:tx>
            <c:strRef>
              <c:f>'Pivot Rport'!$H$7</c:f>
              <c:strCache>
                <c:ptCount val="1"/>
                <c:pt idx="0">
                  <c:v>Count of Patient Admission Flag</c:v>
                </c:pt>
              </c:strCache>
            </c:strRef>
          </c:tx>
          <c:spPr>
            <a:solidFill>
              <a:schemeClr val="accent2"/>
            </a:solidFill>
            <a:ln>
              <a:noFill/>
            </a:ln>
            <a:effectLst/>
          </c:spPr>
          <c:invertIfNegative val="0"/>
          <c:cat>
            <c:strRef>
              <c:f>'Pivot Rport'!$F$8:$F$10</c:f>
              <c:strCache>
                <c:ptCount val="2"/>
                <c:pt idx="0">
                  <c:v>Admited</c:v>
                </c:pt>
                <c:pt idx="1">
                  <c:v>Not Admited</c:v>
                </c:pt>
              </c:strCache>
            </c:strRef>
          </c:cat>
          <c:val>
            <c:numRef>
              <c:f>'Pivot Rport'!$H$8:$H$10</c:f>
              <c:numCache>
                <c:formatCode>0.00%</c:formatCode>
                <c:ptCount val="2"/>
                <c:pt idx="0">
                  <c:v>0.47368421052631576</c:v>
                </c:pt>
                <c:pt idx="1">
                  <c:v>0.52631578947368418</c:v>
                </c:pt>
              </c:numCache>
            </c:numRef>
          </c:val>
          <c:extLst>
            <c:ext xmlns:c16="http://schemas.microsoft.com/office/drawing/2014/chart" uri="{C3380CC4-5D6E-409C-BE32-E72D297353CC}">
              <c16:uniqueId val="{00000003-EC18-46F7-B436-B94C0690DB94}"/>
            </c:ext>
          </c:extLst>
        </c:ser>
        <c:dLbls>
          <c:showLegendKey val="0"/>
          <c:showVal val="0"/>
          <c:showCatName val="0"/>
          <c:showSerName val="0"/>
          <c:showPercent val="0"/>
          <c:showBubbleSize val="0"/>
        </c:dLbls>
        <c:gapWidth val="223"/>
        <c:axId val="1722743520"/>
        <c:axId val="1722740160"/>
      </c:barChart>
      <c:catAx>
        <c:axId val="1722743520"/>
        <c:scaling>
          <c:orientation val="minMax"/>
        </c:scaling>
        <c:delete val="1"/>
        <c:axPos val="l"/>
        <c:numFmt formatCode="General" sourceLinked="1"/>
        <c:majorTickMark val="none"/>
        <c:minorTickMark val="none"/>
        <c:tickLblPos val="nextTo"/>
        <c:crossAx val="1722740160"/>
        <c:crosses val="autoZero"/>
        <c:auto val="1"/>
        <c:lblAlgn val="ctr"/>
        <c:lblOffset val="100"/>
        <c:noMultiLvlLbl val="0"/>
      </c:catAx>
      <c:valAx>
        <c:axId val="1722740160"/>
        <c:scaling>
          <c:orientation val="minMax"/>
        </c:scaling>
        <c:delete val="1"/>
        <c:axPos val="b"/>
        <c:numFmt formatCode="0.00" sourceLinked="1"/>
        <c:majorTickMark val="none"/>
        <c:minorTickMark val="none"/>
        <c:tickLblPos val="nextTo"/>
        <c:crossAx val="1722743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3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Dashobord.xlsx]Pivot Rport!PivotTable6</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Rport'!$G$18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Rport'!$F$19:$F$26</c:f>
              <c:strCache>
                <c:ptCount val="7"/>
                <c:pt idx="0">
                  <c:v>10-19</c:v>
                </c:pt>
                <c:pt idx="1">
                  <c:v>20-29</c:v>
                </c:pt>
                <c:pt idx="2">
                  <c:v>30-39</c:v>
                </c:pt>
                <c:pt idx="3">
                  <c:v>40-49</c:v>
                </c:pt>
                <c:pt idx="4">
                  <c:v>50-59</c:v>
                </c:pt>
                <c:pt idx="5">
                  <c:v>60-69</c:v>
                </c:pt>
                <c:pt idx="6">
                  <c:v>70-79</c:v>
                </c:pt>
              </c:strCache>
            </c:strRef>
          </c:cat>
          <c:val>
            <c:numRef>
              <c:f>'Pivot Rport'!$G$19:$G$26</c:f>
              <c:numCache>
                <c:formatCode>0.00</c:formatCode>
                <c:ptCount val="7"/>
                <c:pt idx="0">
                  <c:v>73</c:v>
                </c:pt>
                <c:pt idx="1">
                  <c:v>58</c:v>
                </c:pt>
                <c:pt idx="2">
                  <c:v>73</c:v>
                </c:pt>
                <c:pt idx="3">
                  <c:v>55</c:v>
                </c:pt>
                <c:pt idx="4">
                  <c:v>51</c:v>
                </c:pt>
                <c:pt idx="5">
                  <c:v>67</c:v>
                </c:pt>
                <c:pt idx="6">
                  <c:v>47</c:v>
                </c:pt>
              </c:numCache>
            </c:numRef>
          </c:val>
          <c:extLst>
            <c:ext xmlns:c16="http://schemas.microsoft.com/office/drawing/2014/chart" uri="{C3380CC4-5D6E-409C-BE32-E72D297353CC}">
              <c16:uniqueId val="{00000002-9782-4697-8EA7-B0FCE81123A5}"/>
            </c:ext>
          </c:extLst>
        </c:ser>
        <c:dLbls>
          <c:showLegendKey val="0"/>
          <c:showVal val="0"/>
          <c:showCatName val="0"/>
          <c:showSerName val="0"/>
          <c:showPercent val="0"/>
          <c:showBubbleSize val="0"/>
        </c:dLbls>
        <c:gapWidth val="219"/>
        <c:overlap val="-27"/>
        <c:axId val="1140399872"/>
        <c:axId val="1140396992"/>
      </c:barChart>
      <c:catAx>
        <c:axId val="114039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396992"/>
        <c:crosses val="autoZero"/>
        <c:auto val="1"/>
        <c:lblAlgn val="ctr"/>
        <c:lblOffset val="100"/>
        <c:noMultiLvlLbl val="0"/>
      </c:catAx>
      <c:valAx>
        <c:axId val="1140396992"/>
        <c:scaling>
          <c:orientation val="minMax"/>
        </c:scaling>
        <c:delete val="1"/>
        <c:axPos val="l"/>
        <c:numFmt formatCode="0.00" sourceLinked="1"/>
        <c:majorTickMark val="none"/>
        <c:minorTickMark val="none"/>
        <c:tickLblPos val="nextTo"/>
        <c:crossAx val="1140399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Dashobord.xlsx]Pivot Rport!PivotTable7</c:name>
    <c:fmtId val="28"/>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8888888888888888"/>
          <c:y val="0.14327588768385083"/>
          <c:w val="0.60799081364829399"/>
          <c:h val="0.688291487149012"/>
        </c:manualLayout>
      </c:layout>
      <c:pieChart>
        <c:varyColors val="1"/>
        <c:ser>
          <c:idx val="0"/>
          <c:order val="0"/>
          <c:tx>
            <c:strRef>
              <c:f>'Pivot Rport'!$G$29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9EC-40F1-B28F-80FEA11FFF0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9EC-40F1-B28F-80FEA11FFF0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Rport'!$F$30:$F$32</c:f>
              <c:strCache>
                <c:ptCount val="2"/>
                <c:pt idx="0">
                  <c:v>Deelay</c:v>
                </c:pt>
                <c:pt idx="1">
                  <c:v>Ontime</c:v>
                </c:pt>
              </c:strCache>
            </c:strRef>
          </c:cat>
          <c:val>
            <c:numRef>
              <c:f>'Pivot Rport'!$G$30:$G$32</c:f>
              <c:numCache>
                <c:formatCode>0.00</c:formatCode>
                <c:ptCount val="2"/>
                <c:pt idx="0">
                  <c:v>307</c:v>
                </c:pt>
                <c:pt idx="1">
                  <c:v>187</c:v>
                </c:pt>
              </c:numCache>
            </c:numRef>
          </c:val>
          <c:extLst>
            <c:ext xmlns:c16="http://schemas.microsoft.com/office/drawing/2014/chart" uri="{C3380CC4-5D6E-409C-BE32-E72D297353CC}">
              <c16:uniqueId val="{00000006-448B-4F34-915B-F13141E03A6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9.9910452369924352E-2"/>
          <c:y val="6.2107017644692231E-3"/>
          <c:w val="0.8533441408059288"/>
          <c:h val="0.1641025346284269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Dashobord.xlsx]Pivot Rport!PivotTable8</c:name>
    <c:fmtId val="39"/>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4349616492113244"/>
          <c:y val="0.23625749206722294"/>
          <c:w val="0.45749560431159697"/>
          <c:h val="0.52748560347866968"/>
        </c:manualLayout>
      </c:layout>
      <c:doughnutChart>
        <c:varyColors val="1"/>
        <c:ser>
          <c:idx val="0"/>
          <c:order val="0"/>
          <c:tx>
            <c:strRef>
              <c:f>'Pivot Rport'!$G$47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8FA-4833-8DC2-351C8D33AED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8FA-4833-8DC2-351C8D33AED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Rport'!$F$48:$F$50</c:f>
              <c:strCache>
                <c:ptCount val="2"/>
                <c:pt idx="0">
                  <c:v>Female</c:v>
                </c:pt>
                <c:pt idx="1">
                  <c:v>Male</c:v>
                </c:pt>
              </c:strCache>
            </c:strRef>
          </c:cat>
          <c:val>
            <c:numRef>
              <c:f>'Pivot Rport'!$G$48:$G$50</c:f>
              <c:numCache>
                <c:formatCode>0</c:formatCode>
                <c:ptCount val="2"/>
                <c:pt idx="0">
                  <c:v>500</c:v>
                </c:pt>
                <c:pt idx="1">
                  <c:v>524</c:v>
                </c:pt>
              </c:numCache>
            </c:numRef>
          </c:val>
          <c:extLst>
            <c:ext xmlns:c16="http://schemas.microsoft.com/office/drawing/2014/chart" uri="{C3380CC4-5D6E-409C-BE32-E72D297353CC}">
              <c16:uniqueId val="{00000004-08FA-4833-8DC2-351C8D33AEDF}"/>
            </c:ext>
          </c:extLst>
        </c:ser>
        <c:dLbls>
          <c:showLegendKey val="0"/>
          <c:showVal val="0"/>
          <c:showCatName val="0"/>
          <c:showSerName val="0"/>
          <c:showPercent val="1"/>
          <c:showBubbleSize val="0"/>
          <c:showLeaderLines val="1"/>
        </c:dLbls>
        <c:firstSliceAng val="0"/>
        <c:holeSize val="50"/>
      </c:doughnutChart>
      <c:spPr>
        <a:solidFill>
          <a:schemeClr val="bg1"/>
        </a:solidFill>
        <a:ln>
          <a:noFill/>
        </a:ln>
        <a:effectLst/>
      </c:spPr>
    </c:plotArea>
    <c:legend>
      <c:legendPos val="r"/>
      <c:layout>
        <c:manualLayout>
          <c:xMode val="edge"/>
          <c:yMode val="edge"/>
          <c:x val="5.4654830196086988E-2"/>
          <c:y val="5.7815689705453506E-4"/>
          <c:w val="0.7579843538975104"/>
          <c:h val="9.1436278798483497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Dashobord.xlsx]Pivot Rport!PivotTable10</c:name>
    <c:fmtId val="26"/>
  </c:pivotSource>
  <c:chart>
    <c:autoTitleDeleted val="1"/>
    <c:pivotFmts>
      <c:pivotFmt>
        <c:idx val="0"/>
        <c:spPr>
          <a:solidFill>
            <a:schemeClr val="accent1"/>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Rport'!$J$19</c:f>
              <c:strCache>
                <c:ptCount val="1"/>
                <c:pt idx="0">
                  <c:v>Total</c:v>
                </c:pt>
              </c:strCache>
            </c:strRef>
          </c:tx>
          <c:spPr>
            <a:solidFill>
              <a:schemeClr val="accent1"/>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Rport'!$I$20:$I$28</c:f>
              <c:strCache>
                <c:ptCount val="8"/>
                <c:pt idx="0">
                  <c:v>None</c:v>
                </c:pt>
                <c:pt idx="1">
                  <c:v>General Practice</c:v>
                </c:pt>
                <c:pt idx="2">
                  <c:v>Orthopedics</c:v>
                </c:pt>
                <c:pt idx="3">
                  <c:v>Cardiology</c:v>
                </c:pt>
                <c:pt idx="4">
                  <c:v>Physiotherapy</c:v>
                </c:pt>
                <c:pt idx="5">
                  <c:v>Gastroenterology</c:v>
                </c:pt>
                <c:pt idx="6">
                  <c:v>Neurology</c:v>
                </c:pt>
                <c:pt idx="7">
                  <c:v>Renal</c:v>
                </c:pt>
              </c:strCache>
            </c:strRef>
          </c:cat>
          <c:val>
            <c:numRef>
              <c:f>'Pivot Rport'!$J$20:$J$28</c:f>
              <c:numCache>
                <c:formatCode>0.00</c:formatCode>
                <c:ptCount val="8"/>
                <c:pt idx="0">
                  <c:v>303</c:v>
                </c:pt>
                <c:pt idx="1">
                  <c:v>92</c:v>
                </c:pt>
                <c:pt idx="2">
                  <c:v>49</c:v>
                </c:pt>
                <c:pt idx="3">
                  <c:v>17</c:v>
                </c:pt>
                <c:pt idx="4">
                  <c:v>11</c:v>
                </c:pt>
                <c:pt idx="5">
                  <c:v>8</c:v>
                </c:pt>
                <c:pt idx="6">
                  <c:v>8</c:v>
                </c:pt>
                <c:pt idx="7">
                  <c:v>6</c:v>
                </c:pt>
              </c:numCache>
            </c:numRef>
          </c:val>
          <c:extLst>
            <c:ext xmlns:c16="http://schemas.microsoft.com/office/drawing/2014/chart" uri="{C3380CC4-5D6E-409C-BE32-E72D297353CC}">
              <c16:uniqueId val="{00000002-B69B-4F79-A672-847C93748335}"/>
            </c:ext>
          </c:extLst>
        </c:ser>
        <c:dLbls>
          <c:showLegendKey val="0"/>
          <c:showVal val="0"/>
          <c:showCatName val="0"/>
          <c:showSerName val="0"/>
          <c:showPercent val="0"/>
          <c:showBubbleSize val="0"/>
        </c:dLbls>
        <c:gapWidth val="182"/>
        <c:axId val="1157471567"/>
        <c:axId val="1157476847"/>
      </c:barChart>
      <c:catAx>
        <c:axId val="1157471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476847"/>
        <c:crosses val="autoZero"/>
        <c:auto val="1"/>
        <c:lblAlgn val="ctr"/>
        <c:lblOffset val="100"/>
        <c:noMultiLvlLbl val="0"/>
      </c:catAx>
      <c:valAx>
        <c:axId val="115747684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471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2.emf"/><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8</xdr:col>
      <xdr:colOff>25400</xdr:colOff>
      <xdr:row>13</xdr:row>
      <xdr:rowOff>6349</xdr:rowOff>
    </xdr:from>
    <xdr:to>
      <xdr:col>8</xdr:col>
      <xdr:colOff>1457909</xdr:colOff>
      <xdr:row>15</xdr:row>
      <xdr:rowOff>32398</xdr:rowOff>
    </xdr:to>
    <xdr:graphicFrame macro="">
      <xdr:nvGraphicFramePr>
        <xdr:cNvPr id="5" name="Chart 4">
          <a:extLst>
            <a:ext uri="{FF2B5EF4-FFF2-40B4-BE49-F238E27FC236}">
              <a16:creationId xmlns:a16="http://schemas.microsoft.com/office/drawing/2014/main" id="{5B60B97A-BC58-97F4-9038-442A6D5333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88900</xdr:colOff>
      <xdr:row>0</xdr:row>
      <xdr:rowOff>120650</xdr:rowOff>
    </xdr:from>
    <xdr:to>
      <xdr:col>6</xdr:col>
      <xdr:colOff>438150</xdr:colOff>
      <xdr:row>4</xdr:row>
      <xdr:rowOff>0</xdr:rowOff>
    </xdr:to>
    <xdr:sp macro="" textlink="">
      <xdr:nvSpPr>
        <xdr:cNvPr id="2" name="Rectangle: Rounded Corners 1">
          <a:extLst>
            <a:ext uri="{FF2B5EF4-FFF2-40B4-BE49-F238E27FC236}">
              <a16:creationId xmlns:a16="http://schemas.microsoft.com/office/drawing/2014/main" id="{770E75EB-CE50-342B-EBDF-BB911F6511C8}"/>
            </a:ext>
          </a:extLst>
        </xdr:cNvPr>
        <xdr:cNvSpPr/>
      </xdr:nvSpPr>
      <xdr:spPr>
        <a:xfrm>
          <a:off x="88900" y="120650"/>
          <a:ext cx="4006850" cy="615950"/>
        </a:xfrm>
        <a:prstGeom prst="roundRect">
          <a:avLst>
            <a:gd name="adj" fmla="val 10482"/>
          </a:avLst>
        </a:prstGeom>
        <a:solidFill>
          <a:schemeClr val="bg1">
            <a:lumMod val="8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498828</xdr:colOff>
      <xdr:row>0</xdr:row>
      <xdr:rowOff>127706</xdr:rowOff>
    </xdr:from>
    <xdr:to>
      <xdr:col>9</xdr:col>
      <xdr:colOff>60678</xdr:colOff>
      <xdr:row>4</xdr:row>
      <xdr:rowOff>1411</xdr:rowOff>
    </xdr:to>
    <xdr:sp macro="" textlink="">
      <xdr:nvSpPr>
        <xdr:cNvPr id="3" name="Rectangle: Rounded Corners 2">
          <a:extLst>
            <a:ext uri="{FF2B5EF4-FFF2-40B4-BE49-F238E27FC236}">
              <a16:creationId xmlns:a16="http://schemas.microsoft.com/office/drawing/2014/main" id="{70F185E3-D8CE-1648-E0C0-76DC98AFFD24}"/>
            </a:ext>
          </a:extLst>
        </xdr:cNvPr>
        <xdr:cNvSpPr/>
      </xdr:nvSpPr>
      <xdr:spPr>
        <a:xfrm>
          <a:off x="4139495" y="127706"/>
          <a:ext cx="1382183" cy="607483"/>
        </a:xfrm>
        <a:prstGeom prst="roundRect">
          <a:avLst>
            <a:gd name="adj" fmla="val 10481"/>
          </a:avLst>
        </a:prstGeom>
        <a:solidFill>
          <a:schemeClr val="bg1">
            <a:lumMod val="8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139700</xdr:colOff>
      <xdr:row>0</xdr:row>
      <xdr:rowOff>139700</xdr:rowOff>
    </xdr:from>
    <xdr:to>
      <xdr:col>12</xdr:col>
      <xdr:colOff>374650</xdr:colOff>
      <xdr:row>10</xdr:row>
      <xdr:rowOff>120650</xdr:rowOff>
    </xdr:to>
    <xdr:sp macro="" textlink="">
      <xdr:nvSpPr>
        <xdr:cNvPr id="4" name="Rectangle: Rounded Corners 3">
          <a:extLst>
            <a:ext uri="{FF2B5EF4-FFF2-40B4-BE49-F238E27FC236}">
              <a16:creationId xmlns:a16="http://schemas.microsoft.com/office/drawing/2014/main" id="{332B0B96-A892-50FD-F6AC-22C8EB94F0C1}"/>
            </a:ext>
          </a:extLst>
        </xdr:cNvPr>
        <xdr:cNvSpPr/>
      </xdr:nvSpPr>
      <xdr:spPr>
        <a:xfrm>
          <a:off x="5626100" y="139700"/>
          <a:ext cx="2063750" cy="1822450"/>
        </a:xfrm>
        <a:prstGeom prst="roundRect">
          <a:avLst>
            <a:gd name="adj" fmla="val 9001"/>
          </a:avLst>
        </a:prstGeom>
        <a:solidFill>
          <a:schemeClr val="bg1">
            <a:lumMod val="8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501650</xdr:colOff>
      <xdr:row>0</xdr:row>
      <xdr:rowOff>139700</xdr:rowOff>
    </xdr:from>
    <xdr:to>
      <xdr:col>16</xdr:col>
      <xdr:colOff>139700</xdr:colOff>
      <xdr:row>10</xdr:row>
      <xdr:rowOff>120650</xdr:rowOff>
    </xdr:to>
    <xdr:sp macro="" textlink="">
      <xdr:nvSpPr>
        <xdr:cNvPr id="5" name="Rectangle: Rounded Corners 4">
          <a:extLst>
            <a:ext uri="{FF2B5EF4-FFF2-40B4-BE49-F238E27FC236}">
              <a16:creationId xmlns:a16="http://schemas.microsoft.com/office/drawing/2014/main" id="{D017C408-649C-DB7D-F142-A6BF4817A8D8}"/>
            </a:ext>
          </a:extLst>
        </xdr:cNvPr>
        <xdr:cNvSpPr/>
      </xdr:nvSpPr>
      <xdr:spPr>
        <a:xfrm>
          <a:off x="7816850" y="139700"/>
          <a:ext cx="2076450" cy="1822450"/>
        </a:xfrm>
        <a:prstGeom prst="roundRect">
          <a:avLst>
            <a:gd name="adj" fmla="val 10047"/>
          </a:avLst>
        </a:prstGeom>
        <a:solidFill>
          <a:schemeClr val="bg1">
            <a:lumMod val="8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4</xdr:row>
      <xdr:rowOff>107950</xdr:rowOff>
    </xdr:from>
    <xdr:to>
      <xdr:col>1</xdr:col>
      <xdr:colOff>381000</xdr:colOff>
      <xdr:row>19</xdr:row>
      <xdr:rowOff>88900</xdr:rowOff>
    </xdr:to>
    <xdr:sp macro="" textlink="">
      <xdr:nvSpPr>
        <xdr:cNvPr id="6" name="Rectangle: Rounded Corners 5">
          <a:extLst>
            <a:ext uri="{FF2B5EF4-FFF2-40B4-BE49-F238E27FC236}">
              <a16:creationId xmlns:a16="http://schemas.microsoft.com/office/drawing/2014/main" id="{6FF99F21-1DEC-DD1D-CD18-709CB2F0946E}"/>
            </a:ext>
          </a:extLst>
        </xdr:cNvPr>
        <xdr:cNvSpPr/>
      </xdr:nvSpPr>
      <xdr:spPr>
        <a:xfrm>
          <a:off x="76200" y="844550"/>
          <a:ext cx="914400" cy="2743200"/>
        </a:xfrm>
        <a:prstGeom prst="roundRect">
          <a:avLst>
            <a:gd name="adj" fmla="val 3432"/>
          </a:avLst>
        </a:prstGeom>
        <a:solidFill>
          <a:schemeClr val="bg1">
            <a:lumMod val="8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450850</xdr:colOff>
      <xdr:row>4</xdr:row>
      <xdr:rowOff>133950</xdr:rowOff>
    </xdr:from>
    <xdr:to>
      <xdr:col>4</xdr:col>
      <xdr:colOff>82700</xdr:colOff>
      <xdr:row>9</xdr:row>
      <xdr:rowOff>25400</xdr:rowOff>
    </xdr:to>
    <xdr:sp macro="" textlink="">
      <xdr:nvSpPr>
        <xdr:cNvPr id="8" name="Rectangle: Rounded Corners 7">
          <a:extLst>
            <a:ext uri="{FF2B5EF4-FFF2-40B4-BE49-F238E27FC236}">
              <a16:creationId xmlns:a16="http://schemas.microsoft.com/office/drawing/2014/main" id="{AE89B2DA-14C0-6EAC-B829-7B61591A72C6}"/>
            </a:ext>
          </a:extLst>
        </xdr:cNvPr>
        <xdr:cNvSpPr/>
      </xdr:nvSpPr>
      <xdr:spPr>
        <a:xfrm>
          <a:off x="1060450" y="870550"/>
          <a:ext cx="1460650" cy="812200"/>
        </a:xfrm>
        <a:prstGeom prst="roundRect">
          <a:avLst>
            <a:gd name="adj" fmla="val 3432"/>
          </a:avLst>
        </a:prstGeom>
        <a:solidFill>
          <a:schemeClr val="bg1">
            <a:lumMod val="8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488950</xdr:colOff>
      <xdr:row>4</xdr:row>
      <xdr:rowOff>127000</xdr:rowOff>
    </xdr:from>
    <xdr:to>
      <xdr:col>9</xdr:col>
      <xdr:colOff>68400</xdr:colOff>
      <xdr:row>9</xdr:row>
      <xdr:rowOff>38100</xdr:rowOff>
    </xdr:to>
    <xdr:sp macro="" textlink="">
      <xdr:nvSpPr>
        <xdr:cNvPr id="10" name="Rectangle: Rounded Corners 9">
          <a:extLst>
            <a:ext uri="{FF2B5EF4-FFF2-40B4-BE49-F238E27FC236}">
              <a16:creationId xmlns:a16="http://schemas.microsoft.com/office/drawing/2014/main" id="{C4060AC7-16E5-2F87-D6ED-6543039271C4}"/>
            </a:ext>
          </a:extLst>
        </xdr:cNvPr>
        <xdr:cNvSpPr/>
      </xdr:nvSpPr>
      <xdr:spPr>
        <a:xfrm>
          <a:off x="4146550" y="863600"/>
          <a:ext cx="1408250" cy="831850"/>
        </a:xfrm>
        <a:prstGeom prst="roundRect">
          <a:avLst>
            <a:gd name="adj" fmla="val 3432"/>
          </a:avLst>
        </a:prstGeom>
        <a:solidFill>
          <a:schemeClr val="bg1">
            <a:lumMod val="8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431800</xdr:colOff>
      <xdr:row>13</xdr:row>
      <xdr:rowOff>127000</xdr:rowOff>
    </xdr:from>
    <xdr:to>
      <xdr:col>9</xdr:col>
      <xdr:colOff>63500</xdr:colOff>
      <xdr:row>19</xdr:row>
      <xdr:rowOff>95250</xdr:rowOff>
    </xdr:to>
    <xdr:sp macro="" textlink="">
      <xdr:nvSpPr>
        <xdr:cNvPr id="18" name="Rectangle: Rounded Corners 17">
          <a:extLst>
            <a:ext uri="{FF2B5EF4-FFF2-40B4-BE49-F238E27FC236}">
              <a16:creationId xmlns:a16="http://schemas.microsoft.com/office/drawing/2014/main" id="{3FEF3ABF-E969-D865-85B0-F6801066741C}"/>
            </a:ext>
          </a:extLst>
        </xdr:cNvPr>
        <xdr:cNvSpPr/>
      </xdr:nvSpPr>
      <xdr:spPr>
        <a:xfrm>
          <a:off x="1041400" y="2520950"/>
          <a:ext cx="4508500" cy="1073150"/>
        </a:xfrm>
        <a:prstGeom prst="roundRect">
          <a:avLst>
            <a:gd name="adj" fmla="val 3432"/>
          </a:avLst>
        </a:prstGeom>
        <a:solidFill>
          <a:schemeClr val="bg1">
            <a:lumMod val="8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438150</xdr:colOff>
      <xdr:row>9</xdr:row>
      <xdr:rowOff>114300</xdr:rowOff>
    </xdr:from>
    <xdr:to>
      <xdr:col>9</xdr:col>
      <xdr:colOff>57150</xdr:colOff>
      <xdr:row>13</xdr:row>
      <xdr:rowOff>50800</xdr:rowOff>
    </xdr:to>
    <xdr:sp macro="" textlink="">
      <xdr:nvSpPr>
        <xdr:cNvPr id="21" name="Rectangle: Rounded Corners 20">
          <a:extLst>
            <a:ext uri="{FF2B5EF4-FFF2-40B4-BE49-F238E27FC236}">
              <a16:creationId xmlns:a16="http://schemas.microsoft.com/office/drawing/2014/main" id="{83E13CF1-1E3A-125C-96DF-33EED4153FBF}"/>
            </a:ext>
          </a:extLst>
        </xdr:cNvPr>
        <xdr:cNvSpPr/>
      </xdr:nvSpPr>
      <xdr:spPr>
        <a:xfrm>
          <a:off x="1047750" y="1771650"/>
          <a:ext cx="4495800" cy="673100"/>
        </a:xfrm>
        <a:prstGeom prst="roundRect">
          <a:avLst>
            <a:gd name="adj" fmla="val 3432"/>
          </a:avLst>
        </a:prstGeom>
        <a:solidFill>
          <a:schemeClr val="bg1">
            <a:lumMod val="8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44450</xdr:colOff>
      <xdr:row>19</xdr:row>
      <xdr:rowOff>127000</xdr:rowOff>
    </xdr:from>
    <xdr:to>
      <xdr:col>13</xdr:col>
      <xdr:colOff>381000</xdr:colOff>
      <xdr:row>19</xdr:row>
      <xdr:rowOff>127000</xdr:rowOff>
    </xdr:to>
    <xdr:cxnSp macro="">
      <xdr:nvCxnSpPr>
        <xdr:cNvPr id="23" name="Straight Connector 22">
          <a:extLst>
            <a:ext uri="{FF2B5EF4-FFF2-40B4-BE49-F238E27FC236}">
              <a16:creationId xmlns:a16="http://schemas.microsoft.com/office/drawing/2014/main" id="{55F39BF5-9CEF-6CD9-07B2-13C96DDBCCA5}"/>
            </a:ext>
          </a:extLst>
        </xdr:cNvPr>
        <xdr:cNvCxnSpPr/>
      </xdr:nvCxnSpPr>
      <xdr:spPr>
        <a:xfrm>
          <a:off x="44450" y="3625850"/>
          <a:ext cx="826135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88900</xdr:colOff>
      <xdr:row>0</xdr:row>
      <xdr:rowOff>38100</xdr:rowOff>
    </xdr:from>
    <xdr:to>
      <xdr:col>9</xdr:col>
      <xdr:colOff>88900</xdr:colOff>
      <xdr:row>19</xdr:row>
      <xdr:rowOff>133350</xdr:rowOff>
    </xdr:to>
    <xdr:cxnSp macro="">
      <xdr:nvCxnSpPr>
        <xdr:cNvPr id="26" name="Straight Connector 25">
          <a:extLst>
            <a:ext uri="{FF2B5EF4-FFF2-40B4-BE49-F238E27FC236}">
              <a16:creationId xmlns:a16="http://schemas.microsoft.com/office/drawing/2014/main" id="{81BC9DF2-4E1E-BE92-8AC5-B8DA6FC2EAA7}"/>
            </a:ext>
          </a:extLst>
        </xdr:cNvPr>
        <xdr:cNvCxnSpPr/>
      </xdr:nvCxnSpPr>
      <xdr:spPr>
        <a:xfrm>
          <a:off x="5575300" y="38100"/>
          <a:ext cx="0" cy="35941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158750</xdr:colOff>
      <xdr:row>11</xdr:row>
      <xdr:rowOff>50800</xdr:rowOff>
    </xdr:from>
    <xdr:to>
      <xdr:col>16</xdr:col>
      <xdr:colOff>146050</xdr:colOff>
      <xdr:row>19</xdr:row>
      <xdr:rowOff>88900</xdr:rowOff>
    </xdr:to>
    <xdr:sp macro="" textlink="">
      <xdr:nvSpPr>
        <xdr:cNvPr id="27" name="Rectangle: Rounded Corners 26">
          <a:extLst>
            <a:ext uri="{FF2B5EF4-FFF2-40B4-BE49-F238E27FC236}">
              <a16:creationId xmlns:a16="http://schemas.microsoft.com/office/drawing/2014/main" id="{ECBEA2A9-7084-E7EF-995B-3FEF4A9639E8}"/>
            </a:ext>
          </a:extLst>
        </xdr:cNvPr>
        <xdr:cNvSpPr/>
      </xdr:nvSpPr>
      <xdr:spPr>
        <a:xfrm>
          <a:off x="5645150" y="2076450"/>
          <a:ext cx="4254500" cy="1511300"/>
        </a:xfrm>
        <a:prstGeom prst="roundRect">
          <a:avLst>
            <a:gd name="adj" fmla="val 6562"/>
          </a:avLst>
        </a:prstGeom>
        <a:solidFill>
          <a:schemeClr val="bg1">
            <a:lumMod val="8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139700</xdr:colOff>
      <xdr:row>1</xdr:row>
      <xdr:rowOff>0</xdr:rowOff>
    </xdr:from>
    <xdr:to>
      <xdr:col>6</xdr:col>
      <xdr:colOff>254000</xdr:colOff>
      <xdr:row>3</xdr:row>
      <xdr:rowOff>38100</xdr:rowOff>
    </xdr:to>
    <xdr:sp macro="" textlink="">
      <xdr:nvSpPr>
        <xdr:cNvPr id="29" name="TextBox 28">
          <a:extLst>
            <a:ext uri="{FF2B5EF4-FFF2-40B4-BE49-F238E27FC236}">
              <a16:creationId xmlns:a16="http://schemas.microsoft.com/office/drawing/2014/main" id="{DA3717F4-CE2D-C743-9123-D7AC62785869}"/>
            </a:ext>
          </a:extLst>
        </xdr:cNvPr>
        <xdr:cNvSpPr txBox="1"/>
      </xdr:nvSpPr>
      <xdr:spPr>
        <a:xfrm>
          <a:off x="749300" y="184150"/>
          <a:ext cx="316230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2000"/>
            <a:t>Hospital</a:t>
          </a:r>
          <a:r>
            <a:rPr lang="en-US" sz="2000" baseline="0"/>
            <a:t> Emergency Room</a:t>
          </a:r>
          <a:endParaRPr lang="en-US" sz="2000"/>
        </a:p>
      </xdr:txBody>
    </xdr:sp>
    <xdr:clientData/>
  </xdr:twoCellAnchor>
  <xdr:twoCellAnchor editAs="oneCell">
    <xdr:from>
      <xdr:col>0</xdr:col>
      <xdr:colOff>187476</xdr:colOff>
      <xdr:row>0</xdr:row>
      <xdr:rowOff>138382</xdr:rowOff>
    </xdr:from>
    <xdr:to>
      <xdr:col>1</xdr:col>
      <xdr:colOff>350784</xdr:colOff>
      <xdr:row>3</xdr:row>
      <xdr:rowOff>163285</xdr:rowOff>
    </xdr:to>
    <xdr:pic>
      <xdr:nvPicPr>
        <xdr:cNvPr id="33" name="Picture 32">
          <a:extLst>
            <a:ext uri="{FF2B5EF4-FFF2-40B4-BE49-F238E27FC236}">
              <a16:creationId xmlns:a16="http://schemas.microsoft.com/office/drawing/2014/main" id="{8AB02BC5-0264-7D76-385B-B4C2B00B4C0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333" t="11064" r="21836" b="13854"/>
        <a:stretch/>
      </xdr:blipFill>
      <xdr:spPr>
        <a:xfrm>
          <a:off x="187476" y="138382"/>
          <a:ext cx="774118" cy="569189"/>
        </a:xfrm>
        <a:prstGeom prst="rect">
          <a:avLst/>
        </a:prstGeom>
        <a:solidFill>
          <a:schemeClr val="bg1"/>
        </a:solidFill>
      </xdr:spPr>
    </xdr:pic>
    <xdr:clientData/>
  </xdr:twoCellAnchor>
  <xdr:twoCellAnchor editAs="absolute">
    <xdr:from>
      <xdr:col>1</xdr:col>
      <xdr:colOff>150989</xdr:colOff>
      <xdr:row>2</xdr:row>
      <xdr:rowOff>63500</xdr:rowOff>
    </xdr:from>
    <xdr:to>
      <xdr:col>6</xdr:col>
      <xdr:colOff>162277</xdr:colOff>
      <xdr:row>3</xdr:row>
      <xdr:rowOff>162278</xdr:rowOff>
    </xdr:to>
    <xdr:sp macro="" textlink="">
      <xdr:nvSpPr>
        <xdr:cNvPr id="34" name="TextBox 33">
          <a:extLst>
            <a:ext uri="{FF2B5EF4-FFF2-40B4-BE49-F238E27FC236}">
              <a16:creationId xmlns:a16="http://schemas.microsoft.com/office/drawing/2014/main" id="{92EB5237-591C-5DEB-52DE-478E2161DF91}"/>
            </a:ext>
          </a:extLst>
        </xdr:cNvPr>
        <xdr:cNvSpPr txBox="1"/>
      </xdr:nvSpPr>
      <xdr:spPr>
        <a:xfrm>
          <a:off x="757767" y="430389"/>
          <a:ext cx="3045177" cy="282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600"/>
            <a:t>Monthly</a:t>
          </a:r>
          <a:r>
            <a:rPr lang="en-US" sz="1600" baseline="0"/>
            <a:t> Report</a:t>
          </a:r>
          <a:endParaRPr lang="en-US" sz="1600"/>
        </a:p>
      </xdr:txBody>
    </xdr:sp>
    <xdr:clientData/>
  </xdr:twoCellAnchor>
  <xdr:twoCellAnchor editAs="absolute">
    <xdr:from>
      <xdr:col>1</xdr:col>
      <xdr:colOff>522111</xdr:colOff>
      <xdr:row>5</xdr:row>
      <xdr:rowOff>91722</xdr:rowOff>
    </xdr:from>
    <xdr:to>
      <xdr:col>4</xdr:col>
      <xdr:colOff>49389</xdr:colOff>
      <xdr:row>7</xdr:row>
      <xdr:rowOff>21166</xdr:rowOff>
    </xdr:to>
    <xdr:sp macro="" textlink="'Pivot Rport'!A8">
      <xdr:nvSpPr>
        <xdr:cNvPr id="59" name="TextBox 58">
          <a:extLst>
            <a:ext uri="{FF2B5EF4-FFF2-40B4-BE49-F238E27FC236}">
              <a16:creationId xmlns:a16="http://schemas.microsoft.com/office/drawing/2014/main" id="{B85E7C03-5EFA-5259-57F6-1767775AC21D}"/>
            </a:ext>
          </a:extLst>
        </xdr:cNvPr>
        <xdr:cNvSpPr txBox="1"/>
      </xdr:nvSpPr>
      <xdr:spPr>
        <a:xfrm>
          <a:off x="1128889" y="1008944"/>
          <a:ext cx="1347611"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E85737D9-70B2-46BA-824E-CCF4DFF32938}" type="TxLink">
            <a:rPr lang="en-US" sz="1800" b="0" i="0" u="none" strike="noStrike">
              <a:solidFill>
                <a:srgbClr val="000000"/>
              </a:solidFill>
              <a:latin typeface="Aptos Narrow"/>
            </a:rPr>
            <a:pPr algn="ctr"/>
            <a:t>494</a:t>
          </a:fld>
          <a:endParaRPr lang="en-US" sz="1800"/>
        </a:p>
      </xdr:txBody>
    </xdr:sp>
    <xdr:clientData/>
  </xdr:twoCellAnchor>
  <xdr:twoCellAnchor editAs="absolute">
    <xdr:from>
      <xdr:col>1</xdr:col>
      <xdr:colOff>515055</xdr:colOff>
      <xdr:row>7</xdr:row>
      <xdr:rowOff>7055</xdr:rowOff>
    </xdr:from>
    <xdr:to>
      <xdr:col>4</xdr:col>
      <xdr:colOff>56445</xdr:colOff>
      <xdr:row>8</xdr:row>
      <xdr:rowOff>134055</xdr:rowOff>
    </xdr:to>
    <xdr:sp macro="" textlink="">
      <xdr:nvSpPr>
        <xdr:cNvPr id="60" name="TextBox 59">
          <a:extLst>
            <a:ext uri="{FF2B5EF4-FFF2-40B4-BE49-F238E27FC236}">
              <a16:creationId xmlns:a16="http://schemas.microsoft.com/office/drawing/2014/main" id="{AC0A7EC7-8D79-B437-3EE6-94AA1F326FB9}"/>
            </a:ext>
          </a:extLst>
        </xdr:cNvPr>
        <xdr:cNvSpPr txBox="1"/>
      </xdr:nvSpPr>
      <xdr:spPr>
        <a:xfrm>
          <a:off x="1121833" y="1291166"/>
          <a:ext cx="1361723" cy="310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600" baseline="0"/>
            <a:t>No Of Patient</a:t>
          </a:r>
          <a:endParaRPr lang="en-US" sz="1600"/>
        </a:p>
      </xdr:txBody>
    </xdr:sp>
    <xdr:clientData/>
  </xdr:twoCellAnchor>
  <xdr:twoCellAnchor editAs="absolute">
    <xdr:from>
      <xdr:col>6</xdr:col>
      <xdr:colOff>522111</xdr:colOff>
      <xdr:row>7</xdr:row>
      <xdr:rowOff>14110</xdr:rowOff>
    </xdr:from>
    <xdr:to>
      <xdr:col>9</xdr:col>
      <xdr:colOff>14111</xdr:colOff>
      <xdr:row>8</xdr:row>
      <xdr:rowOff>126194</xdr:rowOff>
    </xdr:to>
    <xdr:sp macro="" textlink="">
      <xdr:nvSpPr>
        <xdr:cNvPr id="64" name="TextBox 63">
          <a:extLst>
            <a:ext uri="{FF2B5EF4-FFF2-40B4-BE49-F238E27FC236}">
              <a16:creationId xmlns:a16="http://schemas.microsoft.com/office/drawing/2014/main" id="{80B8C118-5D71-4073-A8F7-133B418B148E}"/>
            </a:ext>
          </a:extLst>
        </xdr:cNvPr>
        <xdr:cNvSpPr txBox="1"/>
      </xdr:nvSpPr>
      <xdr:spPr>
        <a:xfrm>
          <a:off x="4162778" y="1298221"/>
          <a:ext cx="1312333" cy="295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600" baseline="0"/>
            <a:t>satication code</a:t>
          </a:r>
        </a:p>
        <a:p>
          <a:pPr algn="ctr"/>
          <a:endParaRPr lang="en-US" sz="1600"/>
        </a:p>
      </xdr:txBody>
    </xdr:sp>
    <xdr:clientData/>
  </xdr:twoCellAnchor>
  <xdr:twoCellAnchor editAs="absolute">
    <xdr:from>
      <xdr:col>6</xdr:col>
      <xdr:colOff>491222</xdr:colOff>
      <xdr:row>5</xdr:row>
      <xdr:rowOff>97683</xdr:rowOff>
    </xdr:from>
    <xdr:to>
      <xdr:col>9</xdr:col>
      <xdr:colOff>33163</xdr:colOff>
      <xdr:row>7</xdr:row>
      <xdr:rowOff>63395</xdr:rowOff>
    </xdr:to>
    <xdr:sp macro="" textlink="'Pivot Rport'!A18">
      <xdr:nvSpPr>
        <xdr:cNvPr id="65" name="TextBox 64">
          <a:extLst>
            <a:ext uri="{FF2B5EF4-FFF2-40B4-BE49-F238E27FC236}">
              <a16:creationId xmlns:a16="http://schemas.microsoft.com/office/drawing/2014/main" id="{2D79C8A7-1614-C077-736E-316988AFA4E3}"/>
            </a:ext>
          </a:extLst>
        </xdr:cNvPr>
        <xdr:cNvSpPr txBox="1"/>
      </xdr:nvSpPr>
      <xdr:spPr>
        <a:xfrm>
          <a:off x="4131889" y="1014905"/>
          <a:ext cx="1362274" cy="332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382370E-0DB6-48B2-880A-C11BE163CE6B}" type="TxLink">
            <a:rPr lang="en-US" sz="2000" b="0" i="0" u="none" strike="noStrike">
              <a:solidFill>
                <a:srgbClr val="000000"/>
              </a:solidFill>
              <a:latin typeface="Aptos Narrow"/>
            </a:rPr>
            <a:pPr algn="ctr"/>
            <a:t>5.06</a:t>
          </a:fld>
          <a:endParaRPr lang="en-US" sz="2000"/>
        </a:p>
      </xdr:txBody>
    </xdr:sp>
    <xdr:clientData/>
  </xdr:twoCellAnchor>
  <xdr:twoCellAnchor>
    <xdr:from>
      <xdr:col>4</xdr:col>
      <xdr:colOff>162278</xdr:colOff>
      <xdr:row>4</xdr:row>
      <xdr:rowOff>127000</xdr:rowOff>
    </xdr:from>
    <xdr:to>
      <xdr:col>6</xdr:col>
      <xdr:colOff>423333</xdr:colOff>
      <xdr:row>9</xdr:row>
      <xdr:rowOff>49389</xdr:rowOff>
    </xdr:to>
    <xdr:sp macro="" textlink="">
      <xdr:nvSpPr>
        <xdr:cNvPr id="9" name="Rectangle: Rounded Corners 8">
          <a:extLst>
            <a:ext uri="{FF2B5EF4-FFF2-40B4-BE49-F238E27FC236}">
              <a16:creationId xmlns:a16="http://schemas.microsoft.com/office/drawing/2014/main" id="{852405E1-5622-A6B0-8DAC-5DF8D2351DD9}"/>
            </a:ext>
          </a:extLst>
        </xdr:cNvPr>
        <xdr:cNvSpPr/>
      </xdr:nvSpPr>
      <xdr:spPr>
        <a:xfrm>
          <a:off x="2589389" y="860778"/>
          <a:ext cx="1474611" cy="839611"/>
        </a:xfrm>
        <a:prstGeom prst="roundRect">
          <a:avLst>
            <a:gd name="adj" fmla="val 9104"/>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213234</xdr:colOff>
      <xdr:row>5</xdr:row>
      <xdr:rowOff>108972</xdr:rowOff>
    </xdr:from>
    <xdr:to>
      <xdr:col>6</xdr:col>
      <xdr:colOff>361952</xdr:colOff>
      <xdr:row>7</xdr:row>
      <xdr:rowOff>74684</xdr:rowOff>
    </xdr:to>
    <xdr:sp macro="" textlink="'Pivot Rport'!A13">
      <xdr:nvSpPr>
        <xdr:cNvPr id="11" name="TextBox 10">
          <a:extLst>
            <a:ext uri="{FF2B5EF4-FFF2-40B4-BE49-F238E27FC236}">
              <a16:creationId xmlns:a16="http://schemas.microsoft.com/office/drawing/2014/main" id="{3EDE2773-D5BC-D909-1556-2FD9FD8C7036}"/>
            </a:ext>
          </a:extLst>
        </xdr:cNvPr>
        <xdr:cNvSpPr txBox="1"/>
      </xdr:nvSpPr>
      <xdr:spPr>
        <a:xfrm>
          <a:off x="2640345" y="1026194"/>
          <a:ext cx="1362274" cy="332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EA5386A1-4257-463B-A84E-E8402F20D315}" type="TxLink">
            <a:rPr lang="en-US" sz="2000" b="0" i="0" u="none" strike="noStrike">
              <a:solidFill>
                <a:srgbClr val="000000"/>
              </a:solidFill>
              <a:latin typeface="Aptos Narrow"/>
            </a:rPr>
            <a:pPr algn="ctr"/>
            <a:t>36.39</a:t>
          </a:fld>
          <a:endParaRPr lang="en-US" sz="2000"/>
        </a:p>
      </xdr:txBody>
    </xdr:sp>
    <xdr:clientData/>
  </xdr:twoCellAnchor>
  <xdr:twoCellAnchor>
    <xdr:from>
      <xdr:col>4</xdr:col>
      <xdr:colOff>246945</xdr:colOff>
      <xdr:row>7</xdr:row>
      <xdr:rowOff>14111</xdr:rowOff>
    </xdr:from>
    <xdr:to>
      <xdr:col>6</xdr:col>
      <xdr:colOff>409222</xdr:colOff>
      <xdr:row>8</xdr:row>
      <xdr:rowOff>134056</xdr:rowOff>
    </xdr:to>
    <xdr:sp macro="" textlink="">
      <xdr:nvSpPr>
        <xdr:cNvPr id="12" name="TextBox 11">
          <a:extLst>
            <a:ext uri="{FF2B5EF4-FFF2-40B4-BE49-F238E27FC236}">
              <a16:creationId xmlns:a16="http://schemas.microsoft.com/office/drawing/2014/main" id="{3CC93AE3-9119-9793-DDC7-84F4AF7EA75D}"/>
            </a:ext>
          </a:extLst>
        </xdr:cNvPr>
        <xdr:cNvSpPr txBox="1"/>
      </xdr:nvSpPr>
      <xdr:spPr>
        <a:xfrm>
          <a:off x="2674056" y="1298222"/>
          <a:ext cx="1375833" cy="30339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t>Patient</a:t>
          </a:r>
          <a:r>
            <a:rPr lang="en-US" sz="1200" b="1" baseline="0"/>
            <a:t> Wait Time</a:t>
          </a:r>
          <a:endParaRPr lang="en-US" sz="1200" b="1"/>
        </a:p>
      </xdr:txBody>
    </xdr:sp>
    <xdr:clientData/>
  </xdr:twoCellAnchor>
  <xdr:twoCellAnchor editAs="oneCell">
    <xdr:from>
      <xdr:col>0</xdr:col>
      <xdr:colOff>127000</xdr:colOff>
      <xdr:row>4</xdr:row>
      <xdr:rowOff>134055</xdr:rowOff>
    </xdr:from>
    <xdr:to>
      <xdr:col>1</xdr:col>
      <xdr:colOff>328930</xdr:colOff>
      <xdr:row>19</xdr:row>
      <xdr:rowOff>115005</xdr:rowOff>
    </xdr:to>
    <mc:AlternateContent xmlns:mc="http://schemas.openxmlformats.org/markup-compatibility/2006" xmlns:a14="http://schemas.microsoft.com/office/drawing/2010/main">
      <mc:Choice Requires="a14">
        <xdr:graphicFrame macro="">
          <xdr:nvGraphicFramePr>
            <xdr:cNvPr id="13" name="Date (Month)">
              <a:extLst>
                <a:ext uri="{FF2B5EF4-FFF2-40B4-BE49-F238E27FC236}">
                  <a16:creationId xmlns:a16="http://schemas.microsoft.com/office/drawing/2014/main" id="{F8771BAF-8DB4-4815-9756-284E674CCFB9}"/>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27000" y="870655"/>
              <a:ext cx="811530" cy="274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463550</xdr:colOff>
      <xdr:row>9</xdr:row>
      <xdr:rowOff>177800</xdr:rowOff>
    </xdr:from>
    <xdr:to>
      <xdr:col>8</xdr:col>
      <xdr:colOff>603250</xdr:colOff>
      <xdr:row>13</xdr:row>
      <xdr:rowOff>0</xdr:rowOff>
    </xdr:to>
    <xdr:pic>
      <xdr:nvPicPr>
        <xdr:cNvPr id="19" name="Picture 18">
          <a:extLst>
            <a:ext uri="{FF2B5EF4-FFF2-40B4-BE49-F238E27FC236}">
              <a16:creationId xmlns:a16="http://schemas.microsoft.com/office/drawing/2014/main" id="{3E41032C-5DF6-0FB2-6EDE-6067095239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3150" y="1835150"/>
          <a:ext cx="4406900" cy="55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444500</xdr:colOff>
      <xdr:row>13</xdr:row>
      <xdr:rowOff>139700</xdr:rowOff>
    </xdr:from>
    <xdr:to>
      <xdr:col>9</xdr:col>
      <xdr:colOff>82550</xdr:colOff>
      <xdr:row>19</xdr:row>
      <xdr:rowOff>101600</xdr:rowOff>
    </xdr:to>
    <xdr:graphicFrame macro="">
      <xdr:nvGraphicFramePr>
        <xdr:cNvPr id="20" name="Chart 19">
          <a:extLst>
            <a:ext uri="{FF2B5EF4-FFF2-40B4-BE49-F238E27FC236}">
              <a16:creationId xmlns:a16="http://schemas.microsoft.com/office/drawing/2014/main" id="{D9CCD908-9F15-4C5C-894F-4A4A7024D9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196850</xdr:colOff>
      <xdr:row>0</xdr:row>
      <xdr:rowOff>158750</xdr:rowOff>
    </xdr:from>
    <xdr:to>
      <xdr:col>12</xdr:col>
      <xdr:colOff>311150</xdr:colOff>
      <xdr:row>10</xdr:row>
      <xdr:rowOff>57150</xdr:rowOff>
    </xdr:to>
    <xdr:graphicFrame macro="">
      <xdr:nvGraphicFramePr>
        <xdr:cNvPr id="7" name="Chart 6">
          <a:extLst>
            <a:ext uri="{FF2B5EF4-FFF2-40B4-BE49-F238E27FC236}">
              <a16:creationId xmlns:a16="http://schemas.microsoft.com/office/drawing/2014/main" id="{0E1620DB-0B51-4DE4-BACF-DE94A3B8B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539750</xdr:colOff>
      <xdr:row>1</xdr:row>
      <xdr:rowOff>25400</xdr:rowOff>
    </xdr:from>
    <xdr:to>
      <xdr:col>16</xdr:col>
      <xdr:colOff>63500</xdr:colOff>
      <xdr:row>10</xdr:row>
      <xdr:rowOff>69850</xdr:rowOff>
    </xdr:to>
    <xdr:graphicFrame macro="">
      <xdr:nvGraphicFramePr>
        <xdr:cNvPr id="15" name="Chart 14">
          <a:extLst>
            <a:ext uri="{FF2B5EF4-FFF2-40B4-BE49-F238E27FC236}">
              <a16:creationId xmlns:a16="http://schemas.microsoft.com/office/drawing/2014/main" id="{A2CB46E7-075B-495A-AF70-0658DEFF30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481894</xdr:colOff>
      <xdr:row>0</xdr:row>
      <xdr:rowOff>127706</xdr:rowOff>
    </xdr:from>
    <xdr:to>
      <xdr:col>9</xdr:col>
      <xdr:colOff>63500</xdr:colOff>
      <xdr:row>3</xdr:row>
      <xdr:rowOff>165100</xdr:rowOff>
    </xdr:to>
    <mc:AlternateContent xmlns:mc="http://schemas.openxmlformats.org/markup-compatibility/2006" xmlns:a14="http://schemas.microsoft.com/office/drawing/2010/main">
      <mc:Choice Requires="a14">
        <xdr:graphicFrame macro="">
          <xdr:nvGraphicFramePr>
            <xdr:cNvPr id="16" name="Date (Year)">
              <a:extLst>
                <a:ext uri="{FF2B5EF4-FFF2-40B4-BE49-F238E27FC236}">
                  <a16:creationId xmlns:a16="http://schemas.microsoft.com/office/drawing/2014/main" id="{4F0C4233-972D-407B-84F5-A41A98552CF2}"/>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139494" y="127706"/>
              <a:ext cx="1410406" cy="5898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184150</xdr:colOff>
      <xdr:row>11</xdr:row>
      <xdr:rowOff>50800</xdr:rowOff>
    </xdr:from>
    <xdr:to>
      <xdr:col>16</xdr:col>
      <xdr:colOff>120650</xdr:colOff>
      <xdr:row>19</xdr:row>
      <xdr:rowOff>44450</xdr:rowOff>
    </xdr:to>
    <xdr:graphicFrame macro="">
      <xdr:nvGraphicFramePr>
        <xdr:cNvPr id="17" name="Chart 16">
          <a:extLst>
            <a:ext uri="{FF2B5EF4-FFF2-40B4-BE49-F238E27FC236}">
              <a16:creationId xmlns:a16="http://schemas.microsoft.com/office/drawing/2014/main" id="{F703F30C-838D-4206-825A-A17045025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4.765573379627" createdVersion="5" refreshedVersion="8" minRefreshableVersion="3" recordCount="0" supportSubquery="1" supportAdvancedDrill="1" xr:uid="{7CF84AF4-F67C-4839-8C67-097D73FECAD8}">
  <cacheSource type="external" connectionId="3"/>
  <cacheFields count="3">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10" level="1">
      <sharedItems count="2">
        <s v="Female"/>
        <s v="Male"/>
      </sharedItems>
    </cacheField>
    <cacheField name="[Measures].[Count of Patient Gender]" caption="Count of Patient Gender" numFmtId="0" hierarchy="33"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ap]" caption="Age_Grouap" attribute="1" defaultMemberUniqueName="[Hospital Emergency Room Data].[Age_Grouap].[All]" allUniqueName="[Hospital Emergency Room Data].[Age_Grouap].[All]" dimensionUniqueName="[Hospital Emergency Room Data]" displayFolder="" count="0" memberValueDatatype="130" unbalanced="0"/>
    <cacheHierarchy uniqueName="[Hospital Emergency Room Data].[Patiebt attent sattus]" caption="Patiebt attent sattus" attribute="1" defaultMemberUniqueName="[Hospital Emergency Room Data].[Patiebt attent sattus].[All]" allUniqueName="[Hospital Emergency Room Data].[Patiebt attent sat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_Grouap]" caption="Count of Age_Groua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bt attent sattus]" caption="Count of Patiebt attent sat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9.796043055554" createdVersion="5" refreshedVersion="8" minRefreshableVersion="3" recordCount="0" supportSubquery="1" supportAdvancedDrill="1" xr:uid="{75CD21C5-5153-4485-B2C7-56092E8047C3}">
  <cacheSource type="external" connectionId="3"/>
  <cacheFields count="4">
    <cacheField name="[Calendar_Table].[Date (Month)].[Date (Month)]" caption="Date (Month)" numFmtId="0" hierarchy="1" level="1">
      <sharedItems count="1">
        <s v="Sep"/>
      </sharedItems>
    </cacheField>
    <cacheField name="[Calendar_Table].[Date].[Date]" caption="Date" numFmtId="0" level="1">
      <sharedItems containsSemiMixedTypes="0" containsNonDate="0" containsDate="1" containsString="0" minDate="2023-09-01T00:00:00" maxDate="2024-10-01T00:00:00" count="6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sharedItems>
    </cacheField>
    <cacheField name="[Calendar_Table].[Date (Quarter)].[Date (Quarter)]" caption="Date (Quarter)" numFmtId="0" hierarchy="4" level="1">
      <sharedItems count="1">
        <s v="Qtr3"/>
      </sharedItems>
    </cacheField>
    <cacheField name="[Calendar_Table].[Date (Year)].[Date (Year)]" caption="Date (Year)" numFmtId="0" hierarchy="3" level="1">
      <sharedItems count="1">
        <s v="2023"/>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2"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_Grouap]" caption="Age_Grouap" attribute="1" defaultMemberUniqueName="[Hospital Emergency Room Data].[Age_Grouap].[All]" allUniqueName="[Hospital Emergency Room Data].[Age_Grouap].[All]" dimensionUniqueName="[Hospital Emergency Room Data]" displayFolder="" count="2" memberValueDatatype="130" unbalanced="0"/>
    <cacheHierarchy uniqueName="[Hospital Emergency Room Data].[Patiebt attent sattus]" caption="Patiebt attent sattus" attribute="1" defaultMemberUniqueName="[Hospital Emergency Room Data].[Patiebt attent sattus].[All]" allUniqueName="[Hospital Emergency Room Data].[Patiebt attent sat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_Grouap]" caption="Count of Age_Groua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bt attent sattus]" caption="Count of Patiebt attent sat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9.796045717594" createdVersion="5" refreshedVersion="8" minRefreshableVersion="3" recordCount="0" supportSubquery="1" supportAdvancedDrill="1" xr:uid="{FDFAF9DC-9001-4A33-AD81-F2BC14483663}">
  <cacheSource type="external" connectionId="3"/>
  <cacheFields count="3">
    <cacheField name="[Measures].[Count of Patient Id]" caption="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ap]" caption="Age_Grouap" attribute="1" defaultMemberUniqueName="[Hospital Emergency Room Data].[Age_Grouap].[All]" allUniqueName="[Hospital Emergency Room Data].[Age_Grouap].[All]" dimensionUniqueName="[Hospital Emergency Room Data]" displayFolder="" count="0" memberValueDatatype="130" unbalanced="0"/>
    <cacheHierarchy uniqueName="[Hospital Emergency Room Data].[Patiebt attent sattus]" caption="Patiebt attent sattus" attribute="1" defaultMemberUniqueName="[Hospital Emergency Room Data].[Patiebt attent sattus].[All]" allUniqueName="[Hospital Emergency Room Data].[Patiebt attent sat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_Grouap]" caption="Count of Age_Groua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bt attent sattus]" caption="Count of Patiebt attent sat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9.796065856484" createdVersion="5" refreshedVersion="8" minRefreshableVersion="3" recordCount="0" supportSubquery="1" supportAdvancedDrill="1" xr:uid="{9913BD9F-BFC1-4E8F-99B0-47E058A77ADA}">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3" level="1">
      <sharedItems count="8">
        <s v="Cardiology"/>
        <s v="Gastroenterology"/>
        <s v="General Practice"/>
        <s v="Neurology"/>
        <s v="None"/>
        <s v="Orthopedics"/>
        <s v="Physiotherapy"/>
        <s v="Renal"/>
      </sharedItems>
    </cacheField>
    <cacheField name="[Measures].[Count of Patient Id]" caption="Count of Patient Id" numFmtId="0" hierarchy="24"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ap]" caption="Age_Grouap" attribute="1" defaultMemberUniqueName="[Hospital Emergency Room Data].[Age_Grouap].[All]" allUniqueName="[Hospital Emergency Room Data].[Age_Grouap].[All]" dimensionUniqueName="[Hospital Emergency Room Data]" displayFolder="" count="2" memberValueDatatype="130" unbalanced="0"/>
    <cacheHierarchy uniqueName="[Hospital Emergency Room Data].[Patiebt attent sattus]" caption="Patiebt attent sattus" attribute="1" defaultMemberUniqueName="[Hospital Emergency Room Data].[Patiebt attent sattus].[All]" allUniqueName="[Hospital Emergency Room Data].[Patiebt attent sat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_Grouap]" caption="Count of Age_Groua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bt attent sattus]" caption="Count of Patiebt attent sat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9.79607650463" createdVersion="5" refreshedVersion="8" minRefreshableVersion="3" recordCount="0" supportSubquery="1" supportAdvancedDrill="1" xr:uid="{B5C57942-0497-4C26-9700-8F256E52CCB4}">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ap]" caption="Age_Grouap" attribute="1" defaultMemberUniqueName="[Hospital Emergency Room Data].[Age_Grouap].[All]" allUniqueName="[Hospital Emergency Room Data].[Age_Grouap].[All]" dimensionUniqueName="[Hospital Emergency Room Data]" displayFolder="" count="0" memberValueDatatype="130" unbalanced="0"/>
    <cacheHierarchy uniqueName="[Hospital Emergency Room Data].[Patiebt attent sattus]" caption="Patiebt attent sattus" attribute="1" defaultMemberUniqueName="[Hospital Emergency Room Data].[Patiebt attent sattus].[All]" allUniqueName="[Hospital Emergency Room Data].[Patiebt attent sat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_Grouap]" caption="Count of Age_Groua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bt attent sattus]" caption="Count of Patiebt attent sat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9.796087037037" createdVersion="5" refreshedVersion="8" minRefreshableVersion="3" recordCount="0" supportSubquery="1" supportAdvancedDrill="1" xr:uid="{D60B3347-C9E9-4E5C-B073-16C228D71177}">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ap]" caption="Age_Grouap" attribute="1" defaultMemberUniqueName="[Hospital Emergency Room Data].[Age_Grouap].[All]" allUniqueName="[Hospital Emergency Room Data].[Age_Grouap].[All]" dimensionUniqueName="[Hospital Emergency Room Data]" displayFolder="" count="0" memberValueDatatype="130" unbalanced="0"/>
    <cacheHierarchy uniqueName="[Hospital Emergency Room Data].[Patiebt attent sattus]" caption="Patiebt attent sattus" attribute="1" defaultMemberUniqueName="[Hospital Emergency Room Data].[Patiebt attent sattus].[All]" allUniqueName="[Hospital Emergency Room Data].[Patiebt attent sat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_Grouap]" caption="Count of Age_Groua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bt attent sattus]" caption="Count of Patiebt attent sat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9.796101388885" createdVersion="5" refreshedVersion="8" minRefreshableVersion="3" recordCount="0" supportSubquery="1" supportAdvancedDrill="1" xr:uid="{93FDEC26-A1A7-455E-81D9-1FE1F0D0AEBF}">
  <cacheSource type="external" connectionId="3"/>
  <cacheFields count="4">
    <cacheField name="[Measures].[Count of Patient Id]" caption="Count of Patient Id" numFmtId="0" hierarchy="24" level="32767"/>
    <cacheField name="[Calendar_Table].[Date].[Date]" caption="Date" numFmtId="0" level="1">
      <sharedItems containsSemiMixedTypes="0" containsNonDate="0" containsDate="1" containsString="0" minDate="2023-08-01T00:00:00" maxDate="2023-09-01T00:00:00" count="31">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ap]" caption="Age_Grouap" attribute="1" defaultMemberUniqueName="[Hospital Emergency Room Data].[Age_Grouap].[All]" allUniqueName="[Hospital Emergency Room Data].[Age_Grouap].[All]" dimensionUniqueName="[Hospital Emergency Room Data]" displayFolder="" count="0" memberValueDatatype="130" unbalanced="0"/>
    <cacheHierarchy uniqueName="[Hospital Emergency Room Data].[Patiebt attent sattus]" caption="Patiebt attent sattus" attribute="1" defaultMemberUniqueName="[Hospital Emergency Room Data].[Patiebt attent sattus].[All]" allUniqueName="[Hospital Emergency Room Data].[Patiebt attent sat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_Grouap]" caption="Count of Age_Groua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bt attent sattus]" caption="Count of Patiebt attent sat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9.796104050925" createdVersion="5" refreshedVersion="8" minRefreshableVersion="3" recordCount="0" supportSubquery="1" supportAdvancedDrill="1" xr:uid="{20F779B4-3966-47F4-98E3-494363EEF76E}">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4" level="1">
      <sharedItems count="2">
        <s v="Admited"/>
        <s v="Not Admited"/>
      </sharedItems>
    </cacheField>
    <cacheField name="[Measures].[Count of Patient Admission Flag]" caption="Count of Patient Admission Flag" numFmtId="0" hierarchy="30" level="32767"/>
    <cacheField name="[Calendar_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ap]" caption="Age_Grouap" attribute="1" defaultMemberUniqueName="[Hospital Emergency Room Data].[Age_Grouap].[All]" allUniqueName="[Hospital Emergency Room Data].[Age_Grouap].[All]" dimensionUniqueName="[Hospital Emergency Room Data]" displayFolder="" count="0" memberValueDatatype="130" unbalanced="0"/>
    <cacheHierarchy uniqueName="[Hospital Emergency Room Data].[Patiebt attent sattus]" caption="Patiebt attent sattus" attribute="1" defaultMemberUniqueName="[Hospital Emergency Room Data].[Patiebt attent sattus].[All]" allUniqueName="[Hospital Emergency Room Data].[Patiebt attent sat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Age_Grouap]" caption="Count of Age_Groua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bt attent sattus]" caption="Count of Patiebt attent sat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9.796113888886" createdVersion="5" refreshedVersion="8" minRefreshableVersion="3" recordCount="0" supportSubquery="1" supportAdvancedDrill="1" xr:uid="{60660D21-0838-4C8E-B9D6-2DA9EB2E511A}">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_Grouap].[Age_Grouap]" caption="Age_Grouap" numFmtId="0" hierarchy="17" level="1">
      <sharedItems count="7">
        <s v="10-19"/>
        <s v="20-29"/>
        <s v="30-39"/>
        <s v="40-49"/>
        <s v="50-59"/>
        <s v="60-69"/>
        <s v="70-79"/>
      </sharedItems>
    </cacheField>
    <cacheField name="[Measures].[Count of Age_Grouap]" caption="Count of Age_Grouap"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ap]" caption="Age_Grouap" attribute="1" defaultMemberUniqueName="[Hospital Emergency Room Data].[Age_Grouap].[All]" allUniqueName="[Hospital Emergency Room Data].[Age_Grouap].[All]" dimensionUniqueName="[Hospital Emergency Room Data]" displayFolder="" count="2" memberValueDatatype="130" unbalanced="0">
      <fieldsUsage count="2">
        <fieldUsage x="-1"/>
        <fieldUsage x="1"/>
      </fieldsUsage>
    </cacheHierarchy>
    <cacheHierarchy uniqueName="[Hospital Emergency Room Data].[Patiebt attent sattus]" caption="Patiebt attent sattus" attribute="1" defaultMemberUniqueName="[Hospital Emergency Room Data].[Patiebt attent sattus].[All]" allUniqueName="[Hospital Emergency Room Data].[Patiebt attent sat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_Grouap]" caption="Count of Age_Grouap"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bt attent sattus]" caption="Count of Patiebt attent sat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9.796116782411" createdVersion="5" refreshedVersion="8" minRefreshableVersion="3" recordCount="0" supportSubquery="1" supportAdvancedDrill="1" xr:uid="{BAD1DACE-6983-4DC4-A0A2-55708F93B296}">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bt attent sattus].[Patiebt attent sattus]" caption="Patiebt attent sattus" numFmtId="0" hierarchy="18" level="1">
      <sharedItems count="2">
        <s v="Deelay"/>
        <s v="Ontime"/>
      </sharedItems>
    </cacheField>
    <cacheField name="[Measures].[Count of Patiebt attent sattus]" caption="Count of Patiebt attent sattus"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ap]" caption="Age_Grouap" attribute="1" defaultMemberUniqueName="[Hospital Emergency Room Data].[Age_Grouap].[All]" allUniqueName="[Hospital Emergency Room Data].[Age_Grouap].[All]" dimensionUniqueName="[Hospital Emergency Room Data]" displayFolder="" count="0" memberValueDatatype="130" unbalanced="0"/>
    <cacheHierarchy uniqueName="[Hospital Emergency Room Data].[Patiebt attent sattus]" caption="Patiebt attent sattus" attribute="1" defaultMemberUniqueName="[Hospital Emergency Room Data].[Patiebt attent sattus].[All]" allUniqueName="[Hospital Emergency Room Data].[Patiebt attent sat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_Grouap]" caption="Count of Age_Groua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bt attent sattus]" caption="Count of Patiebt attent sat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9.601721064813" createdVersion="3" refreshedVersion="8" minRefreshableVersion="3" recordCount="0" supportSubquery="1" supportAdvancedDrill="1" xr:uid="{5B0B5CA7-CC85-46F9-AB66-445A5DB60655}">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ap]" caption="Age_Grouap" attribute="1" defaultMemberUniqueName="[Hospital Emergency Room Data].[Age_Grouap].[All]" allUniqueName="[Hospital Emergency Room Data].[Age_Grouap].[All]" dimensionUniqueName="[Hospital Emergency Room Data]" displayFolder="" count="0" memberValueDatatype="130" unbalanced="0"/>
    <cacheHierarchy uniqueName="[Hospital Emergency Room Data].[Patiebt attent sattus]" caption="Patiebt attent sattus" attribute="1" defaultMemberUniqueName="[Hospital Emergency Room Data].[Patiebt attent sattus].[All]" allUniqueName="[Hospital Emergency Room Data].[Patiebt attent sat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_Grouap]" caption="Count of Age_Groua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bt attent sattus]" caption="Count of Patiebt attent sat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236429562"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9.602201273148" createdVersion="3" refreshedVersion="8" minRefreshableVersion="3" recordCount="0" supportSubquery="1" supportAdvancedDrill="1" xr:uid="{790A4AD2-22E0-4651-B975-F343D421AB26}">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ap]" caption="Age_Grouap" attribute="1" defaultMemberUniqueName="[Hospital Emergency Room Data].[Age_Grouap].[All]" allUniqueName="[Hospital Emergency Room Data].[Age_Grouap].[All]" dimensionUniqueName="[Hospital Emergency Room Data]" displayFolder="" count="0" memberValueDatatype="130" unbalanced="0"/>
    <cacheHierarchy uniqueName="[Hospital Emergency Room Data].[Patiebt attent sattus]" caption="Patiebt attent sattus" attribute="1" defaultMemberUniqueName="[Hospital Emergency Room Data].[Patiebt attent sattus].[All]" allUniqueName="[Hospital Emergency Room Data].[Patiebt attent sat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_Grouap]" caption="Count of Age_Groua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bt attent sattus]" caption="Count of Patiebt attent sat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46381385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3AE1CC-8199-4A72-B661-99B11CE5D9BB}" name="PivotTable1" cacheId="17" applyNumberFormats="0" applyBorderFormats="0" applyFontFormats="0" applyPatternFormats="0" applyAlignmentFormats="0" applyWidthHeightFormats="1" dataCaption="Values" tag="2af56466-4496-4cbf-bdc9-70df5baf8520" updatedVersion="8" minRefreshableVersion="3"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68CCA9-68DF-476F-908C-DA5F05678166}" name="PivotTable5" cacheId="32" applyNumberFormats="0" applyBorderFormats="0" applyFontFormats="0" applyPatternFormats="0" applyAlignmentFormats="0" applyWidthHeightFormats="1" dataCaption="Values" tag="4b698ba6-e54c-46b1-98f2-c332bcf6c45b" updatedVersion="8" minRefreshableVersion="3" subtotalHiddenItems="1" itemPrintTitles="1" createdVersion="5" indent="0" outline="1" outlineData="1" multipleFieldFilters="0" chartFormat="19">
  <location ref="F7:H10"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2" fld="2" subtotal="count" baseField="0" baseItem="0">
      <extLst>
        <ext xmlns:x14="http://schemas.microsoft.com/office/spreadsheetml/2009/9/main" uri="{E15A36E0-9728-4e99-A89B-3F7291B0FE68}">
          <x14:dataField sourceField="2" uniqueName="[__Xl2].[Measures].[Count of Patient Admission Flag]"/>
        </ext>
      </extLst>
    </dataField>
    <dataField name="Count of Patient Admission Flag" fld="4" subtotal="count" showDataAs="percentOfTotal" baseField="1" baseItem="0" numFmtId="10">
      <extLst>
        <ext xmlns:x14="http://schemas.microsoft.com/office/spreadsheetml/2009/9/main" uri="{E15A36E0-9728-4e99-A89B-3F7291B0FE68}">
          <x14:dataField sourceField="2"/>
        </ext>
      </extLst>
    </dataField>
  </dataFields>
  <formats count="2">
    <format dxfId="9">
      <pivotArea outline="0" collapsedLevelsAreSubtotals="1" fieldPosition="0"/>
    </format>
    <format dxfId="8">
      <pivotArea outline="0" fieldPosition="0">
        <references count="1">
          <reference field="4294967294" count="1">
            <x v="1"/>
          </reference>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2E97E8-E664-4FF8-921C-8658D3A362D9}" name="PivotTable9" cacheId="14" applyNumberFormats="0" applyBorderFormats="0" applyFontFormats="0" applyPatternFormats="0" applyAlignmentFormats="0" applyWidthHeightFormats="1" dataCaption="Values" tag="4b698ba6-e54c-46b1-98f2-c332bcf6c45b" updatedVersion="8" minRefreshableVersion="3" subtotalHiddenItems="1" itemPrintTitles="1" createdVersion="5" indent="0" outline="1" outlineData="1" multipleFieldFilters="0" chartFormat="40">
  <location ref="F54:F56"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0">
      <pivotArea outline="0" collapsedLevelsAreSubtotals="1" fieldPosition="0"/>
    </format>
  </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64CE37-38EA-4D09-9180-40EA801C4FBF}" name="PivotTable8" cacheId="0" applyNumberFormats="0" applyBorderFormats="0" applyFontFormats="0" applyPatternFormats="0" applyAlignmentFormats="0" applyWidthHeightFormats="1" dataCaption="Values" tag="4b698ba6-e54c-46b1-98f2-c332bcf6c45b" updatedVersion="8" minRefreshableVersion="3" subtotalHiddenItems="1" itemPrintTitles="1" createdVersion="5" indent="0" outline="1" outlineData="1" multipleFieldFilters="0" chartFormat="40">
  <location ref="F47:G50"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formats count="1">
    <format dxfId="11">
      <pivotArea outline="0" collapsedLevelsAreSubtotals="1" fieldPosition="0"/>
    </format>
  </formats>
  <chartFormats count="6">
    <chartFormat chart="34" format="3"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9" format="4" series="1">
      <pivotArea type="data" outline="0" fieldPosition="0">
        <references count="1">
          <reference field="4294967294" count="1" selected="0">
            <x v="0"/>
          </reference>
        </references>
      </pivotArea>
    </chartFormat>
    <chartFormat chart="39" format="5">
      <pivotArea type="data" outline="0" fieldPosition="0">
        <references count="2">
          <reference field="4294967294" count="1" selected="0">
            <x v="0"/>
          </reference>
          <reference field="1" count="1" selected="0">
            <x v="0"/>
          </reference>
        </references>
      </pivotArea>
    </chartFormat>
    <chartFormat chart="39"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88881B-3D5B-4018-A560-4CE95CFEAB9A}" name="PivotTable7" cacheId="38" applyNumberFormats="0" applyBorderFormats="0" applyFontFormats="0" applyPatternFormats="0" applyAlignmentFormats="0" applyWidthHeightFormats="1" dataCaption="Values" tag="4b698ba6-e54c-46b1-98f2-c332bcf6c45b" updatedVersion="8" minRefreshableVersion="3" subtotalHiddenItems="1" itemPrintTitles="1" createdVersion="5" indent="0" outline="1" outlineData="1" multipleFieldFilters="0" chartFormat="29">
  <location ref="F29:G3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bt attent sattus" fld="2" subtotal="count" baseField="0" baseItem="0"/>
  </dataFields>
  <formats count="1">
    <format dxfId="12">
      <pivotArea outline="0" collapsedLevelsAreSubtotals="1" fieldPosition="0"/>
    </format>
  </formats>
  <chartFormats count="3">
    <chartFormat chart="28" format="4" series="1">
      <pivotArea type="data" outline="0" fieldPosition="0">
        <references count="1">
          <reference field="4294967294" count="1" selected="0">
            <x v="0"/>
          </reference>
        </references>
      </pivotArea>
    </chartFormat>
    <chartFormat chart="28" format="5">
      <pivotArea type="data" outline="0" fieldPosition="0">
        <references count="2">
          <reference field="4294967294" count="1" selected="0">
            <x v="0"/>
          </reference>
          <reference field="1" count="1" selected="0">
            <x v="0"/>
          </reference>
        </references>
      </pivotArea>
    </chartFormat>
    <chartFormat chart="28"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EB0C46-3DFB-4A1D-947C-37CAFE370011}" name="PivotTable10" cacheId="20" applyNumberFormats="0" applyBorderFormats="0" applyFontFormats="0" applyPatternFormats="0" applyAlignmentFormats="0" applyWidthHeightFormats="1" dataCaption="Values" tag="4b698ba6-e54c-46b1-98f2-c332bcf6c45b" updatedVersion="8" minRefreshableVersion="3" subtotalHiddenItems="1" itemPrintTitles="1" createdVersion="5" indent="0" outline="1" outlineData="1" multipleFieldFilters="0" chartFormat="27">
  <location ref="I19:J28" firstHeaderRow="1" firstDataRow="1" firstDataCol="1"/>
  <pivotFields count="4">
    <pivotField allDrilled="1" subtotalTop="0" showAll="0" dataSourceSort="1" defaultSubtotal="0" defaultAttributeDrillState="1"/>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4"/>
    </i>
    <i>
      <x v="2"/>
    </i>
    <i>
      <x v="5"/>
    </i>
    <i>
      <x/>
    </i>
    <i>
      <x v="6"/>
    </i>
    <i>
      <x v="1"/>
    </i>
    <i>
      <x v="3"/>
    </i>
    <i>
      <x v="7"/>
    </i>
    <i t="grand">
      <x/>
    </i>
  </rowItems>
  <colItems count="1">
    <i/>
  </colItems>
  <dataFields count="1">
    <dataField name="Count of Patient Id" fld="2" subtotal="count" baseField="0" baseItem="0"/>
  </dataFields>
  <formats count="1">
    <format dxfId="13">
      <pivotArea outline="0" collapsedLevelsAreSubtotals="1" fieldPosition="0"/>
    </format>
  </formats>
  <chartFormats count="4">
    <chartFormat chart="23"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A82469C-D79C-4CE6-8046-1A8031E4EF66}" name="PivotTable3" cacheId="26" applyNumberFormats="0" applyBorderFormats="0" applyFontFormats="0" applyPatternFormats="0" applyAlignmentFormats="0" applyWidthHeightFormats="1" dataCaption="Values" tag="4b698ba6-e54c-46b1-98f2-c332bcf6c45b" updatedVersion="8" minRefreshableVersion="3" subtotalHiddenItems="1" itemPrintTitles="1" createdVersion="5" indent="0" outline="1" outlineData="1" multipleFieldFilters="0">
  <location ref="A17:A1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4">
      <pivotArea outline="0" collapsedLevelsAreSubtotals="1" fieldPosition="0"/>
    </format>
  </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437787-E236-497B-82A6-B757B5B95E33}" name="PivotTable4" cacheId="29" applyNumberFormats="0" applyBorderFormats="0" applyFontFormats="0" applyPatternFormats="0" applyAlignmentFormats="0" applyWidthHeightFormats="1" dataCaption="Values" tag="2af56466-4496-4cbf-bdc9-70df5baf8520" updatedVersion="8" minRefreshableVersion="3" subtotalHiddenItems="1" itemPrintTitles="1" createdVersion="5" indent="0" outline="1" outlineData="1" multipleFieldFilters="0" chartFormat="5">
  <location ref="C7:D39"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0" subtotal="count" baseField="0" baseItem="0"/>
  </dataField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89DC69-232F-4661-85A4-B4B834045DD7}" name="PivotTable6" cacheId="35" applyNumberFormats="0" applyBorderFormats="0" applyFontFormats="0" applyPatternFormats="0" applyAlignmentFormats="0" applyWidthHeightFormats="1" dataCaption="Values" tag="4b698ba6-e54c-46b1-98f2-c332bcf6c45b" updatedVersion="8" minRefreshableVersion="3" subtotalHiddenItems="1" itemPrintTitles="1" createdVersion="5" indent="0" outline="1" outlineData="1" multipleFieldFilters="0" chartFormat="23">
  <location ref="F18:G2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Age_Grouap" fld="2" subtotal="count" baseField="0" baseItem="0"/>
  </dataFields>
  <formats count="1">
    <format dxfId="15">
      <pivotArea outline="0" collapsedLevelsAreSubtotals="1" fieldPosition="0"/>
    </format>
  </formats>
  <chartFormats count="4">
    <chartFormat chart="19"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0300896-7C35-4ACC-A679-9D0A99FB18AB}" name="PivotTable2" cacheId="23" applyNumberFormats="0" applyBorderFormats="0" applyFontFormats="0" applyPatternFormats="0" applyAlignmentFormats="0" applyWidthHeightFormats="1" dataCaption="Values" tag="3632e7dc-7154-4de1-8f8e-7190b5f62613"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6">
      <pivotArea outline="0" collapsedLevelsAreSubtotals="1" fieldPosition="0"/>
    </format>
  </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2200C671-BE39-4781-AC57-84BA0868918C}" sourceName="[Calendar_Table].[Date (Month)]">
  <pivotTables>
    <pivotTable tabId="4" name="PivotTable4"/>
    <pivotTable tabId="4" name="PivotTable1"/>
    <pivotTable tabId="4" name="PivotTable2"/>
    <pivotTable tabId="4" name="PivotTable3"/>
    <pivotTable tabId="4" name="PivotTable5"/>
    <pivotTable tabId="4" name="PivotTable6"/>
    <pivotTable tabId="4" name="PivotTable7"/>
    <pivotTable tabId="4" name="PivotTable8"/>
    <pivotTable tabId="4" name="PivotTable9"/>
    <pivotTable tabId="4" name="PivotTable10"/>
  </pivotTables>
  <data>
    <olap pivotCacheId="1236429562">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Aug]"/>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0AD21EA-45C4-4662-9DD2-52D919D009DE}" sourceName="[Calendar_Table].[Date (Year)]">
  <pivotTables>
    <pivotTable tabId="4" name="PivotTable9"/>
    <pivotTable tabId="4" name="PivotTable1"/>
    <pivotTable tabId="4" name="PivotTable10"/>
    <pivotTable tabId="4" name="PivotTable2"/>
    <pivotTable tabId="4" name="PivotTable3"/>
    <pivotTable tabId="4" name="PivotTable4"/>
    <pivotTable tabId="4" name="PivotTable5"/>
    <pivotTable tabId="4" name="PivotTable6"/>
    <pivotTable tabId="4" name="PivotTable7"/>
  </pivotTables>
  <data>
    <olap pivotCacheId="463813854">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04A42D8E-017D-4247-AE99-FD8D24CFE262}" cache="Slicer_Date__Month" caption="Date (Month)" showCaption="0" level="1" style="my syle" rowHeight="182880"/>
  <slicer name="Date (Year)" xr10:uid="{A25C5005-49B0-4699-AC38-3239D1FE3161}" cache="Slicer_Date__Year" caption="Date (Year)" columnCount="2" showCaption="0" level="1"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EE8D9-D6C3-4780-8F63-074D6525B00A}">
  <dimension ref="A6:J56"/>
  <sheetViews>
    <sheetView zoomScale="98" zoomScaleNormal="100" workbookViewId="0">
      <selection activeCell="I24" sqref="I24"/>
    </sheetView>
  </sheetViews>
  <sheetFormatPr defaultRowHeight="14.5" x14ac:dyDescent="0.35"/>
  <cols>
    <col min="1" max="1" width="31.7265625" bestFit="1" customWidth="1"/>
    <col min="3" max="4" width="16.36328125" bestFit="1" customWidth="1"/>
    <col min="6" max="6" width="14.81640625" bestFit="1" customWidth="1"/>
    <col min="7" max="7" width="29.1796875" bestFit="1" customWidth="1"/>
    <col min="8" max="8" width="28.1796875" bestFit="1" customWidth="1"/>
    <col min="9" max="9" width="17.453125" customWidth="1"/>
    <col min="10" max="10" width="18.7265625" bestFit="1" customWidth="1"/>
  </cols>
  <sheetData>
    <row r="6" spans="1:9" x14ac:dyDescent="0.35">
      <c r="A6" t="s">
        <v>1</v>
      </c>
    </row>
    <row r="7" spans="1:9" x14ac:dyDescent="0.35">
      <c r="A7" t="s">
        <v>0</v>
      </c>
      <c r="C7" s="4" t="s">
        <v>4</v>
      </c>
      <c r="D7" t="s">
        <v>0</v>
      </c>
      <c r="F7" s="4" t="s">
        <v>4</v>
      </c>
      <c r="G7" t="s">
        <v>9</v>
      </c>
      <c r="H7" t="s">
        <v>8</v>
      </c>
    </row>
    <row r="8" spans="1:9" x14ac:dyDescent="0.35">
      <c r="A8" s="1">
        <v>494</v>
      </c>
      <c r="C8" s="5">
        <v>45139</v>
      </c>
      <c r="D8" s="1">
        <v>14</v>
      </c>
      <c r="F8" s="6" t="s">
        <v>6</v>
      </c>
      <c r="G8" s="2">
        <v>234</v>
      </c>
      <c r="H8" s="8">
        <v>0.47368421052631576</v>
      </c>
    </row>
    <row r="9" spans="1:9" x14ac:dyDescent="0.35">
      <c r="C9" s="5">
        <v>45140</v>
      </c>
      <c r="D9" s="1">
        <v>15</v>
      </c>
      <c r="F9" s="6" t="s">
        <v>7</v>
      </c>
      <c r="G9" s="2">
        <v>260</v>
      </c>
      <c r="H9" s="8">
        <v>0.52631578947368418</v>
      </c>
    </row>
    <row r="10" spans="1:9" x14ac:dyDescent="0.35">
      <c r="C10" s="5">
        <v>45141</v>
      </c>
      <c r="D10" s="1">
        <v>17</v>
      </c>
      <c r="F10" s="6" t="s">
        <v>5</v>
      </c>
      <c r="G10" s="2">
        <v>494</v>
      </c>
      <c r="H10" s="8">
        <v>1</v>
      </c>
    </row>
    <row r="11" spans="1:9" x14ac:dyDescent="0.35">
      <c r="C11" s="5">
        <v>45142</v>
      </c>
      <c r="D11" s="1">
        <v>12</v>
      </c>
    </row>
    <row r="12" spans="1:9" x14ac:dyDescent="0.35">
      <c r="A12" t="s">
        <v>2</v>
      </c>
      <c r="C12" s="5">
        <v>45143</v>
      </c>
      <c r="D12" s="1">
        <v>23</v>
      </c>
    </row>
    <row r="13" spans="1:9" x14ac:dyDescent="0.35">
      <c r="A13" s="2">
        <v>36.392712550607285</v>
      </c>
      <c r="C13" s="5">
        <v>45144</v>
      </c>
      <c r="D13" s="1">
        <v>10</v>
      </c>
      <c r="F13" s="11" t="s">
        <v>10</v>
      </c>
      <c r="G13" s="10" t="s">
        <v>12</v>
      </c>
      <c r="H13" s="10" t="s">
        <v>11</v>
      </c>
      <c r="I13" s="10"/>
    </row>
    <row r="14" spans="1:9" x14ac:dyDescent="0.35">
      <c r="C14" s="5">
        <v>45145</v>
      </c>
      <c r="D14" s="1">
        <v>18</v>
      </c>
      <c r="F14" s="9" t="str">
        <f>F9</f>
        <v>Not Admited</v>
      </c>
      <c r="G14" s="12">
        <f t="shared" ref="G14:H14" si="0">G9</f>
        <v>260</v>
      </c>
      <c r="H14" s="9">
        <f t="shared" si="0"/>
        <v>0.52631578947368418</v>
      </c>
    </row>
    <row r="15" spans="1:9" x14ac:dyDescent="0.35">
      <c r="C15" s="5">
        <v>45146</v>
      </c>
      <c r="D15" s="1">
        <v>11</v>
      </c>
      <c r="F15" s="9" t="str">
        <f>F8</f>
        <v>Admited</v>
      </c>
      <c r="G15" s="12">
        <f>G8</f>
        <v>234</v>
      </c>
      <c r="H15" s="9">
        <f>H8</f>
        <v>0.47368421052631576</v>
      </c>
    </row>
    <row r="16" spans="1:9" x14ac:dyDescent="0.35">
      <c r="C16" s="5">
        <v>45147</v>
      </c>
      <c r="D16" s="1">
        <v>12</v>
      </c>
    </row>
    <row r="17" spans="1:10" x14ac:dyDescent="0.35">
      <c r="A17" t="s">
        <v>3</v>
      </c>
      <c r="C17" s="5">
        <v>45148</v>
      </c>
      <c r="D17" s="1">
        <v>24</v>
      </c>
    </row>
    <row r="18" spans="1:10" x14ac:dyDescent="0.35">
      <c r="A18" s="2">
        <v>5.0629921259842519</v>
      </c>
      <c r="C18" s="5">
        <v>45149</v>
      </c>
      <c r="D18" s="1">
        <v>16</v>
      </c>
      <c r="F18" s="4" t="s">
        <v>4</v>
      </c>
      <c r="G18" t="s">
        <v>20</v>
      </c>
    </row>
    <row r="19" spans="1:10" x14ac:dyDescent="0.35">
      <c r="C19" s="5">
        <v>45150</v>
      </c>
      <c r="D19" s="1">
        <v>21</v>
      </c>
      <c r="F19" s="6" t="s">
        <v>13</v>
      </c>
      <c r="G19" s="2">
        <v>73</v>
      </c>
      <c r="I19" s="4" t="s">
        <v>4</v>
      </c>
      <c r="J19" t="s">
        <v>0</v>
      </c>
    </row>
    <row r="20" spans="1:10" x14ac:dyDescent="0.35">
      <c r="C20" s="5">
        <v>45151</v>
      </c>
      <c r="D20" s="1">
        <v>16</v>
      </c>
      <c r="F20" s="6" t="s">
        <v>14</v>
      </c>
      <c r="G20" s="2">
        <v>58</v>
      </c>
      <c r="I20" s="6" t="s">
        <v>31</v>
      </c>
      <c r="J20" s="2">
        <v>303</v>
      </c>
    </row>
    <row r="21" spans="1:10" x14ac:dyDescent="0.35">
      <c r="C21" s="5">
        <v>45152</v>
      </c>
      <c r="D21" s="1">
        <v>15</v>
      </c>
      <c r="F21" s="6" t="s">
        <v>15</v>
      </c>
      <c r="G21" s="2">
        <v>73</v>
      </c>
      <c r="I21" s="6" t="s">
        <v>29</v>
      </c>
      <c r="J21" s="2">
        <v>92</v>
      </c>
    </row>
    <row r="22" spans="1:10" x14ac:dyDescent="0.35">
      <c r="C22" s="5">
        <v>45153</v>
      </c>
      <c r="D22" s="1">
        <v>14</v>
      </c>
      <c r="F22" s="6" t="s">
        <v>16</v>
      </c>
      <c r="G22" s="2">
        <v>55</v>
      </c>
      <c r="I22" s="6" t="s">
        <v>32</v>
      </c>
      <c r="J22" s="2">
        <v>49</v>
      </c>
    </row>
    <row r="23" spans="1:10" x14ac:dyDescent="0.35">
      <c r="C23" s="5">
        <v>45154</v>
      </c>
      <c r="D23" s="1">
        <v>18</v>
      </c>
      <c r="F23" s="6" t="s">
        <v>17</v>
      </c>
      <c r="G23" s="2">
        <v>51</v>
      </c>
      <c r="I23" s="6" t="s">
        <v>27</v>
      </c>
      <c r="J23" s="2">
        <v>17</v>
      </c>
    </row>
    <row r="24" spans="1:10" x14ac:dyDescent="0.35">
      <c r="C24" s="5">
        <v>45155</v>
      </c>
      <c r="D24" s="1">
        <v>12</v>
      </c>
      <c r="F24" s="6" t="s">
        <v>18</v>
      </c>
      <c r="G24" s="2">
        <v>67</v>
      </c>
      <c r="I24" s="6" t="s">
        <v>33</v>
      </c>
      <c r="J24" s="2">
        <v>11</v>
      </c>
    </row>
    <row r="25" spans="1:10" x14ac:dyDescent="0.35">
      <c r="C25" s="5">
        <v>45156</v>
      </c>
      <c r="D25" s="1">
        <v>18</v>
      </c>
      <c r="F25" s="6" t="s">
        <v>19</v>
      </c>
      <c r="G25" s="2">
        <v>47</v>
      </c>
      <c r="I25" s="6" t="s">
        <v>28</v>
      </c>
      <c r="J25" s="2">
        <v>8</v>
      </c>
    </row>
    <row r="26" spans="1:10" x14ac:dyDescent="0.35">
      <c r="C26" s="5">
        <v>45157</v>
      </c>
      <c r="D26" s="1">
        <v>16</v>
      </c>
      <c r="F26" s="6" t="s">
        <v>5</v>
      </c>
      <c r="G26" s="2">
        <v>424</v>
      </c>
      <c r="I26" s="6" t="s">
        <v>30</v>
      </c>
      <c r="J26" s="2">
        <v>8</v>
      </c>
    </row>
    <row r="27" spans="1:10" x14ac:dyDescent="0.35">
      <c r="C27" s="5">
        <v>45158</v>
      </c>
      <c r="D27" s="1">
        <v>22</v>
      </c>
      <c r="I27" s="6" t="s">
        <v>34</v>
      </c>
      <c r="J27" s="2">
        <v>6</v>
      </c>
    </row>
    <row r="28" spans="1:10" x14ac:dyDescent="0.35">
      <c r="C28" s="5">
        <v>45159</v>
      </c>
      <c r="D28" s="1">
        <v>16</v>
      </c>
      <c r="I28" s="6" t="s">
        <v>5</v>
      </c>
      <c r="J28" s="2">
        <v>494</v>
      </c>
    </row>
    <row r="29" spans="1:10" x14ac:dyDescent="0.35">
      <c r="C29" s="5">
        <v>45160</v>
      </c>
      <c r="D29" s="1">
        <v>10</v>
      </c>
      <c r="F29" s="4" t="s">
        <v>4</v>
      </c>
      <c r="G29" t="s">
        <v>23</v>
      </c>
    </row>
    <row r="30" spans="1:10" x14ac:dyDescent="0.35">
      <c r="C30" s="5">
        <v>45161</v>
      </c>
      <c r="D30" s="1">
        <v>18</v>
      </c>
      <c r="F30" s="6" t="s">
        <v>21</v>
      </c>
      <c r="G30" s="2">
        <v>307</v>
      </c>
    </row>
    <row r="31" spans="1:10" x14ac:dyDescent="0.35">
      <c r="C31" s="5">
        <v>45162</v>
      </c>
      <c r="D31" s="1">
        <v>13</v>
      </c>
      <c r="F31" s="6" t="s">
        <v>22</v>
      </c>
      <c r="G31" s="2">
        <v>187</v>
      </c>
    </row>
    <row r="32" spans="1:10" x14ac:dyDescent="0.35">
      <c r="C32" s="5">
        <v>45163</v>
      </c>
      <c r="D32" s="1">
        <v>20</v>
      </c>
      <c r="F32" s="6" t="s">
        <v>5</v>
      </c>
      <c r="G32" s="2">
        <v>494</v>
      </c>
    </row>
    <row r="33" spans="3:7" x14ac:dyDescent="0.35">
      <c r="C33" s="5">
        <v>45164</v>
      </c>
      <c r="D33" s="1">
        <v>17</v>
      </c>
    </row>
    <row r="34" spans="3:7" x14ac:dyDescent="0.35">
      <c r="C34" s="5">
        <v>45165</v>
      </c>
      <c r="D34" s="1">
        <v>19</v>
      </c>
    </row>
    <row r="35" spans="3:7" x14ac:dyDescent="0.35">
      <c r="C35" s="5">
        <v>45166</v>
      </c>
      <c r="D35" s="1">
        <v>17</v>
      </c>
    </row>
    <row r="36" spans="3:7" x14ac:dyDescent="0.35">
      <c r="C36" s="5">
        <v>45167</v>
      </c>
      <c r="D36" s="1">
        <v>22</v>
      </c>
    </row>
    <row r="37" spans="3:7" x14ac:dyDescent="0.35">
      <c r="C37" s="5">
        <v>45168</v>
      </c>
      <c r="D37" s="1">
        <v>9</v>
      </c>
    </row>
    <row r="38" spans="3:7" x14ac:dyDescent="0.35">
      <c r="C38" s="5">
        <v>45169</v>
      </c>
      <c r="D38" s="1">
        <v>9</v>
      </c>
    </row>
    <row r="39" spans="3:7" x14ac:dyDescent="0.35">
      <c r="C39" s="6" t="s">
        <v>5</v>
      </c>
      <c r="D39" s="1">
        <v>494</v>
      </c>
    </row>
    <row r="47" spans="3:7" x14ac:dyDescent="0.35">
      <c r="F47" s="4" t="s">
        <v>4</v>
      </c>
      <c r="G47" t="s">
        <v>26</v>
      </c>
    </row>
    <row r="48" spans="3:7" x14ac:dyDescent="0.35">
      <c r="F48" s="6" t="s">
        <v>24</v>
      </c>
      <c r="G48" s="13">
        <v>500</v>
      </c>
    </row>
    <row r="49" spans="6:7" x14ac:dyDescent="0.35">
      <c r="F49" s="6" t="s">
        <v>25</v>
      </c>
      <c r="G49" s="13">
        <v>524</v>
      </c>
    </row>
    <row r="50" spans="6:7" x14ac:dyDescent="0.35">
      <c r="F50" s="6" t="s">
        <v>5</v>
      </c>
      <c r="G50" s="13">
        <v>1024</v>
      </c>
    </row>
    <row r="54" spans="6:7" x14ac:dyDescent="0.35">
      <c r="F54" s="4" t="s">
        <v>4</v>
      </c>
    </row>
    <row r="55" spans="6:7" x14ac:dyDescent="0.35">
      <c r="F55" s="6" t="s">
        <v>35</v>
      </c>
    </row>
    <row r="56" spans="6:7" x14ac:dyDescent="0.35">
      <c r="F56" s="6" t="s">
        <v>5</v>
      </c>
    </row>
  </sheetData>
  <pageMargins left="0.7" right="0.7" top="0.75" bottom="0.75" header="0.3" footer="0.3"/>
  <pageSetup orientation="portrait" r:id="rId11"/>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0AE84-63E0-4022-B751-4960C8D5CFB2}">
  <dimension ref="A1:AT574"/>
  <sheetViews>
    <sheetView tabSelected="1" zoomScaleNormal="100" workbookViewId="0">
      <selection activeCell="R11" sqref="R11"/>
    </sheetView>
  </sheetViews>
  <sheetFormatPr defaultRowHeight="14.5" x14ac:dyDescent="0.35"/>
  <sheetData>
    <row r="1" spans="1:46" x14ac:dyDescent="0.3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row>
    <row r="2" spans="1:46" x14ac:dyDescent="0.35">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row>
    <row r="3" spans="1:46" x14ac:dyDescent="0.3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row>
    <row r="4" spans="1:46" x14ac:dyDescent="0.3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row>
    <row r="5" spans="1:46" x14ac:dyDescent="0.3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row>
    <row r="6" spans="1:46" x14ac:dyDescent="0.3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row>
    <row r="7" spans="1:46" x14ac:dyDescent="0.35">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row>
    <row r="8" spans="1:46" x14ac:dyDescent="0.35">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row>
    <row r="9" spans="1:46" x14ac:dyDescent="0.35">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row>
    <row r="10" spans="1:46" x14ac:dyDescent="0.35">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row>
    <row r="11" spans="1:46" x14ac:dyDescent="0.35">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row>
    <row r="12" spans="1:46" x14ac:dyDescent="0.35">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row>
    <row r="13" spans="1:46" x14ac:dyDescent="0.35">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row>
    <row r="14" spans="1:46" x14ac:dyDescent="0.35">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row>
    <row r="15" spans="1:46" x14ac:dyDescent="0.3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row>
    <row r="16" spans="1:46" x14ac:dyDescent="0.35">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row>
    <row r="17" spans="1:46" x14ac:dyDescent="0.35">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row>
    <row r="18" spans="1:46" x14ac:dyDescent="0.35">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row>
    <row r="19" spans="1:46" x14ac:dyDescent="0.35">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row>
    <row r="20" spans="1:46" x14ac:dyDescent="0.35">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row>
    <row r="21" spans="1:46" x14ac:dyDescent="0.35">
      <c r="A21" s="3"/>
      <c r="B21" s="3"/>
      <c r="C21" s="3"/>
      <c r="D21" s="3"/>
      <c r="E21" s="3"/>
      <c r="F21" s="3"/>
      <c r="G21" s="3"/>
      <c r="H21" s="3"/>
      <c r="I21" s="7"/>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row>
    <row r="22" spans="1:46" x14ac:dyDescent="0.35">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row>
    <row r="23" spans="1:46" x14ac:dyDescent="0.35">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row>
    <row r="24" spans="1:46" x14ac:dyDescent="0.35">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row>
    <row r="25" spans="1:46" x14ac:dyDescent="0.3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row>
    <row r="26" spans="1:46" x14ac:dyDescent="0.3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row>
    <row r="27" spans="1:46" x14ac:dyDescent="0.35">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row>
    <row r="28" spans="1:46" x14ac:dyDescent="0.3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row>
    <row r="29" spans="1:46" x14ac:dyDescent="0.3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row>
    <row r="30" spans="1:46" x14ac:dyDescent="0.3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row>
    <row r="31" spans="1:46" x14ac:dyDescent="0.3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row>
    <row r="32" spans="1:46" x14ac:dyDescent="0.3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row>
    <row r="33" spans="1:46" x14ac:dyDescent="0.3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row>
    <row r="34" spans="1:46" x14ac:dyDescent="0.3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row>
    <row r="35" spans="1:46" x14ac:dyDescent="0.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row>
    <row r="36" spans="1:46" x14ac:dyDescent="0.35">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row>
    <row r="37" spans="1:46" x14ac:dyDescent="0.3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row>
    <row r="38" spans="1:46" x14ac:dyDescent="0.35">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row>
    <row r="39" spans="1:46" x14ac:dyDescent="0.35">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row>
    <row r="40" spans="1:46" x14ac:dyDescent="0.3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row>
    <row r="41" spans="1:46" x14ac:dyDescent="0.3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row>
    <row r="42" spans="1:46" x14ac:dyDescent="0.3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row>
    <row r="43" spans="1:46" x14ac:dyDescent="0.3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row>
    <row r="44" spans="1:46" x14ac:dyDescent="0.3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row>
    <row r="45" spans="1:46" x14ac:dyDescent="0.3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row>
    <row r="46" spans="1:46" x14ac:dyDescent="0.3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row>
    <row r="47" spans="1:46" x14ac:dyDescent="0.3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row>
    <row r="48" spans="1:46" x14ac:dyDescent="0.3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row>
    <row r="49" spans="1:46" x14ac:dyDescent="0.3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row>
    <row r="50" spans="1:46" x14ac:dyDescent="0.3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row>
    <row r="51" spans="1:46" x14ac:dyDescent="0.3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row>
    <row r="52" spans="1:46" x14ac:dyDescent="0.3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row>
    <row r="53" spans="1:46" x14ac:dyDescent="0.3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row>
    <row r="54" spans="1:46" x14ac:dyDescent="0.3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row>
    <row r="55" spans="1:46" x14ac:dyDescent="0.3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row>
    <row r="56" spans="1:46" x14ac:dyDescent="0.3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row>
    <row r="57" spans="1:46" x14ac:dyDescent="0.3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row>
    <row r="58" spans="1:46" x14ac:dyDescent="0.3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row>
    <row r="59" spans="1:46" x14ac:dyDescent="0.3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row>
    <row r="60" spans="1:46" x14ac:dyDescent="0.3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row>
    <row r="61" spans="1:46" x14ac:dyDescent="0.3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row>
    <row r="62" spans="1:46" x14ac:dyDescent="0.3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row>
    <row r="63" spans="1:46" x14ac:dyDescent="0.3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row>
    <row r="64" spans="1:46" x14ac:dyDescent="0.3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row>
    <row r="65" spans="1:46" x14ac:dyDescent="0.3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row>
    <row r="66" spans="1:46" x14ac:dyDescent="0.3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row>
    <row r="67" spans="1:46" x14ac:dyDescent="0.3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row>
    <row r="68" spans="1:46" x14ac:dyDescent="0.3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row>
    <row r="69" spans="1:46" x14ac:dyDescent="0.3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row>
    <row r="70" spans="1:46" x14ac:dyDescent="0.3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row>
    <row r="71" spans="1:46" x14ac:dyDescent="0.3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row>
    <row r="72" spans="1:46" x14ac:dyDescent="0.3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row>
    <row r="73" spans="1:46" x14ac:dyDescent="0.3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row>
    <row r="74" spans="1:46" x14ac:dyDescent="0.3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row>
    <row r="75" spans="1:46" x14ac:dyDescent="0.3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row>
    <row r="76" spans="1:46" x14ac:dyDescent="0.3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row>
    <row r="77" spans="1:46" x14ac:dyDescent="0.3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row>
    <row r="78" spans="1:46" x14ac:dyDescent="0.3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row>
    <row r="79" spans="1:46" x14ac:dyDescent="0.3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row>
    <row r="80" spans="1:46" x14ac:dyDescent="0.3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row>
    <row r="81" spans="1:46" x14ac:dyDescent="0.3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row>
    <row r="82" spans="1:46" x14ac:dyDescent="0.3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row>
    <row r="83" spans="1:46" x14ac:dyDescent="0.3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row>
    <row r="84" spans="1:46" x14ac:dyDescent="0.3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row>
    <row r="85" spans="1:46" x14ac:dyDescent="0.3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row>
    <row r="86" spans="1:46" x14ac:dyDescent="0.3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row>
    <row r="87" spans="1:46" x14ac:dyDescent="0.3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row>
    <row r="88" spans="1:46" x14ac:dyDescent="0.3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row>
    <row r="89" spans="1:46" x14ac:dyDescent="0.3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row>
    <row r="90" spans="1:46" x14ac:dyDescent="0.3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row>
    <row r="91" spans="1:46" x14ac:dyDescent="0.3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row>
    <row r="92" spans="1:46" x14ac:dyDescent="0.3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row>
    <row r="93" spans="1:46" x14ac:dyDescent="0.3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row>
    <row r="94" spans="1:46" x14ac:dyDescent="0.3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row>
    <row r="95" spans="1:46" x14ac:dyDescent="0.3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row>
    <row r="96" spans="1:46" x14ac:dyDescent="0.3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row>
    <row r="97" spans="1:46" x14ac:dyDescent="0.3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row>
    <row r="98" spans="1:46" x14ac:dyDescent="0.3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row>
    <row r="99" spans="1:46" x14ac:dyDescent="0.3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row>
    <row r="100" spans="1:46" x14ac:dyDescent="0.3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row>
    <row r="101" spans="1:46" x14ac:dyDescent="0.3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row>
    <row r="102" spans="1:46" x14ac:dyDescent="0.3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row>
    <row r="103" spans="1:46" x14ac:dyDescent="0.3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row>
    <row r="104" spans="1:46" x14ac:dyDescent="0.3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row>
    <row r="105" spans="1:46" x14ac:dyDescent="0.3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row>
    <row r="106" spans="1:46" x14ac:dyDescent="0.3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row>
    <row r="107" spans="1:46" x14ac:dyDescent="0.3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row>
    <row r="108" spans="1:46" x14ac:dyDescent="0.3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row>
    <row r="109" spans="1:46" x14ac:dyDescent="0.3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row>
    <row r="110" spans="1:46" x14ac:dyDescent="0.3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row>
    <row r="111" spans="1:46" x14ac:dyDescent="0.3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row>
    <row r="112" spans="1:46" x14ac:dyDescent="0.3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row>
    <row r="113" spans="1:46" x14ac:dyDescent="0.3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row>
    <row r="114" spans="1:46" x14ac:dyDescent="0.3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row>
    <row r="115" spans="1:46" x14ac:dyDescent="0.3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row>
    <row r="116" spans="1:46" x14ac:dyDescent="0.3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row>
    <row r="117" spans="1:46" x14ac:dyDescent="0.3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row>
    <row r="118" spans="1:46" x14ac:dyDescent="0.3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row>
    <row r="119" spans="1:46" x14ac:dyDescent="0.3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row>
    <row r="120" spans="1:46" x14ac:dyDescent="0.3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row>
    <row r="121" spans="1:46" x14ac:dyDescent="0.3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row>
    <row r="122" spans="1:46" x14ac:dyDescent="0.3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row>
    <row r="123" spans="1:46" x14ac:dyDescent="0.3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row>
    <row r="124" spans="1:46" x14ac:dyDescent="0.3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row>
    <row r="125" spans="1:46" x14ac:dyDescent="0.3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row>
    <row r="126" spans="1:46" x14ac:dyDescent="0.3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row>
    <row r="127" spans="1:46" x14ac:dyDescent="0.3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row>
    <row r="128" spans="1:46" x14ac:dyDescent="0.3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row>
    <row r="129" spans="1:46" x14ac:dyDescent="0.3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row>
    <row r="130" spans="1:46" x14ac:dyDescent="0.3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row>
    <row r="131" spans="1:46" x14ac:dyDescent="0.3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row>
    <row r="132" spans="1:46" x14ac:dyDescent="0.3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row>
    <row r="133" spans="1:46" x14ac:dyDescent="0.3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row>
    <row r="134" spans="1:46" x14ac:dyDescent="0.3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row>
    <row r="135" spans="1:46" x14ac:dyDescent="0.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row>
    <row r="136" spans="1:46" x14ac:dyDescent="0.3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row>
    <row r="137" spans="1:46" x14ac:dyDescent="0.3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row>
    <row r="138" spans="1:46" x14ac:dyDescent="0.3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row>
    <row r="139" spans="1:46" x14ac:dyDescent="0.3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row>
    <row r="140" spans="1:46" x14ac:dyDescent="0.3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row>
    <row r="141" spans="1:46" x14ac:dyDescent="0.3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row>
    <row r="142" spans="1:46" x14ac:dyDescent="0.3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row>
    <row r="143" spans="1:46" x14ac:dyDescent="0.3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row>
    <row r="144" spans="1:46" x14ac:dyDescent="0.3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row>
    <row r="145" spans="1:46" x14ac:dyDescent="0.3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row>
    <row r="146" spans="1:46" x14ac:dyDescent="0.3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row>
    <row r="147" spans="1:46" x14ac:dyDescent="0.3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row>
    <row r="148" spans="1:46" x14ac:dyDescent="0.3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row>
    <row r="149" spans="1:46" x14ac:dyDescent="0.3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row>
    <row r="150" spans="1:46" x14ac:dyDescent="0.3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row>
    <row r="151" spans="1:46" x14ac:dyDescent="0.3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row>
    <row r="152" spans="1:46" x14ac:dyDescent="0.3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row>
    <row r="153" spans="1:46" x14ac:dyDescent="0.3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row>
    <row r="154" spans="1:46" x14ac:dyDescent="0.3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row>
    <row r="155" spans="1:46" x14ac:dyDescent="0.3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row>
    <row r="156" spans="1:46" x14ac:dyDescent="0.3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row>
    <row r="157" spans="1:46" x14ac:dyDescent="0.3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row>
    <row r="158" spans="1:46" x14ac:dyDescent="0.3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row>
    <row r="159" spans="1:46" x14ac:dyDescent="0.3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row>
    <row r="160" spans="1:46" x14ac:dyDescent="0.3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row>
    <row r="161" spans="1:46" x14ac:dyDescent="0.3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row>
    <row r="162" spans="1:46" x14ac:dyDescent="0.3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row>
    <row r="163" spans="1:46" x14ac:dyDescent="0.3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row>
    <row r="164" spans="1:46" x14ac:dyDescent="0.3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row>
    <row r="165" spans="1:46" x14ac:dyDescent="0.3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row>
    <row r="166" spans="1:46" x14ac:dyDescent="0.3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row>
    <row r="167" spans="1:46" x14ac:dyDescent="0.3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row>
    <row r="168" spans="1:46" x14ac:dyDescent="0.3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row>
    <row r="169" spans="1:46" x14ac:dyDescent="0.3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row>
    <row r="170" spans="1:46" x14ac:dyDescent="0.3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row>
    <row r="171" spans="1:46" x14ac:dyDescent="0.3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row>
    <row r="172" spans="1:46" x14ac:dyDescent="0.3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row>
    <row r="173" spans="1:46" x14ac:dyDescent="0.3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row>
    <row r="174" spans="1:46" x14ac:dyDescent="0.3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row>
    <row r="175" spans="1:46" x14ac:dyDescent="0.3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row>
    <row r="176" spans="1:46" x14ac:dyDescent="0.3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row>
    <row r="177" spans="1:46" x14ac:dyDescent="0.3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row>
    <row r="178" spans="1:46" x14ac:dyDescent="0.3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row>
    <row r="179" spans="1:46" x14ac:dyDescent="0.3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row>
    <row r="180" spans="1:46" x14ac:dyDescent="0.3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row>
    <row r="181" spans="1:46" x14ac:dyDescent="0.3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row>
    <row r="182" spans="1:46" x14ac:dyDescent="0.3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row>
    <row r="183" spans="1:46" x14ac:dyDescent="0.3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row>
    <row r="184" spans="1:46" x14ac:dyDescent="0.3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row>
    <row r="185" spans="1:46" x14ac:dyDescent="0.3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row>
    <row r="186" spans="1:46" x14ac:dyDescent="0.3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row>
    <row r="187" spans="1:46" x14ac:dyDescent="0.3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row>
    <row r="188" spans="1:46" x14ac:dyDescent="0.3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row>
    <row r="189" spans="1:46" x14ac:dyDescent="0.3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row>
    <row r="190" spans="1:46" x14ac:dyDescent="0.3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row>
    <row r="191" spans="1:46" x14ac:dyDescent="0.3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row>
    <row r="192" spans="1:46" x14ac:dyDescent="0.3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row>
    <row r="193" spans="1:46" x14ac:dyDescent="0.3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row>
    <row r="194" spans="1:46" x14ac:dyDescent="0.3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row>
    <row r="195" spans="1:46" x14ac:dyDescent="0.3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row>
    <row r="196" spans="1:46" x14ac:dyDescent="0.3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row>
    <row r="197" spans="1:46" x14ac:dyDescent="0.3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row>
    <row r="198" spans="1:46" x14ac:dyDescent="0.3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row>
    <row r="199" spans="1:46" x14ac:dyDescent="0.3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row>
    <row r="200" spans="1:46" x14ac:dyDescent="0.3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row>
    <row r="201" spans="1:46" x14ac:dyDescent="0.3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row>
    <row r="202" spans="1:46" x14ac:dyDescent="0.3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row>
    <row r="203" spans="1:46" x14ac:dyDescent="0.3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row>
    <row r="204" spans="1:46" x14ac:dyDescent="0.3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row>
    <row r="205" spans="1:46" x14ac:dyDescent="0.3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row>
    <row r="206" spans="1:46" x14ac:dyDescent="0.3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row>
    <row r="207" spans="1:46" x14ac:dyDescent="0.3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row>
    <row r="208" spans="1:46" x14ac:dyDescent="0.3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row>
    <row r="209" spans="1:46" x14ac:dyDescent="0.3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row>
    <row r="210" spans="1:46" x14ac:dyDescent="0.3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row>
    <row r="211" spans="1:46" x14ac:dyDescent="0.3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row>
    <row r="212" spans="1:46" x14ac:dyDescent="0.3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row>
    <row r="213" spans="1:46" x14ac:dyDescent="0.3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row>
    <row r="214" spans="1:46" x14ac:dyDescent="0.3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row>
    <row r="215" spans="1:46" x14ac:dyDescent="0.3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row>
    <row r="216" spans="1:46" x14ac:dyDescent="0.3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row>
    <row r="217" spans="1:46" x14ac:dyDescent="0.3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row>
    <row r="218" spans="1:46" x14ac:dyDescent="0.3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row>
    <row r="219" spans="1:46" x14ac:dyDescent="0.3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row>
    <row r="220" spans="1:46" x14ac:dyDescent="0.3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row>
    <row r="221" spans="1:46" x14ac:dyDescent="0.3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row>
    <row r="222" spans="1:46" x14ac:dyDescent="0.3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row>
    <row r="223" spans="1:46" x14ac:dyDescent="0.3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row>
    <row r="224" spans="1:46" x14ac:dyDescent="0.3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row>
    <row r="225" spans="1:46" x14ac:dyDescent="0.3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row>
    <row r="226" spans="1:46" x14ac:dyDescent="0.3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row>
    <row r="227" spans="1:46" x14ac:dyDescent="0.3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row>
    <row r="228" spans="1:46" x14ac:dyDescent="0.3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row>
    <row r="229" spans="1:46" x14ac:dyDescent="0.3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row>
    <row r="230" spans="1:46" x14ac:dyDescent="0.3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row>
    <row r="231" spans="1:46" x14ac:dyDescent="0.3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row>
    <row r="232" spans="1:46" x14ac:dyDescent="0.3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row>
    <row r="233" spans="1:46" x14ac:dyDescent="0.3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row>
    <row r="234" spans="1:46" x14ac:dyDescent="0.3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row>
    <row r="235" spans="1:46" x14ac:dyDescent="0.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row>
    <row r="236" spans="1:46" x14ac:dyDescent="0.3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row>
    <row r="237" spans="1:46" x14ac:dyDescent="0.3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row>
    <row r="238" spans="1:46" x14ac:dyDescent="0.3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row>
    <row r="239" spans="1:46" x14ac:dyDescent="0.3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row>
    <row r="240" spans="1:46" x14ac:dyDescent="0.3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row>
    <row r="241" spans="1:46" x14ac:dyDescent="0.3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row>
    <row r="242" spans="1:46" x14ac:dyDescent="0.3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row>
    <row r="243" spans="1:46" x14ac:dyDescent="0.3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row>
    <row r="244" spans="1:46" x14ac:dyDescent="0.3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row>
    <row r="245" spans="1:46" x14ac:dyDescent="0.3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row>
    <row r="246" spans="1:46" x14ac:dyDescent="0.3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row>
    <row r="247" spans="1:46" x14ac:dyDescent="0.3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row>
    <row r="248" spans="1:46" x14ac:dyDescent="0.3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row>
    <row r="249" spans="1:46" x14ac:dyDescent="0.3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row>
    <row r="250" spans="1:46" x14ac:dyDescent="0.3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row>
    <row r="251" spans="1:46" x14ac:dyDescent="0.3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row>
    <row r="252" spans="1:46" x14ac:dyDescent="0.3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row>
    <row r="253" spans="1:46" x14ac:dyDescent="0.3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row>
    <row r="254" spans="1:46" x14ac:dyDescent="0.3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row>
    <row r="255" spans="1:46" x14ac:dyDescent="0.3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row>
    <row r="256" spans="1:46" x14ac:dyDescent="0.3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row>
    <row r="257" spans="1:46" x14ac:dyDescent="0.3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row>
    <row r="258" spans="1:46" x14ac:dyDescent="0.3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row>
    <row r="259" spans="1:46" x14ac:dyDescent="0.3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row>
    <row r="260" spans="1:46" x14ac:dyDescent="0.3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row>
    <row r="261" spans="1:46" x14ac:dyDescent="0.3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row>
    <row r="262" spans="1:46" x14ac:dyDescent="0.3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row>
    <row r="263" spans="1:46" x14ac:dyDescent="0.3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row>
    <row r="264" spans="1:46" x14ac:dyDescent="0.3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row>
    <row r="265" spans="1:46" x14ac:dyDescent="0.3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row>
    <row r="266" spans="1:46" x14ac:dyDescent="0.3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row>
    <row r="267" spans="1:46" x14ac:dyDescent="0.3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row>
    <row r="268" spans="1:46" x14ac:dyDescent="0.3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row>
    <row r="269" spans="1:46" x14ac:dyDescent="0.3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row>
    <row r="270" spans="1:46" x14ac:dyDescent="0.3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row>
    <row r="271" spans="1:46" x14ac:dyDescent="0.3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row>
    <row r="272" spans="1:46" x14ac:dyDescent="0.3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row>
    <row r="273" spans="1:46" x14ac:dyDescent="0.3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row>
    <row r="274" spans="1:46" x14ac:dyDescent="0.3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row>
    <row r="275" spans="1:46" x14ac:dyDescent="0.3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row>
    <row r="276" spans="1:46" x14ac:dyDescent="0.3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row>
    <row r="277" spans="1:46" x14ac:dyDescent="0.3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row>
    <row r="278" spans="1:46" x14ac:dyDescent="0.3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row>
    <row r="279" spans="1:46" x14ac:dyDescent="0.3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row>
    <row r="280" spans="1:46" x14ac:dyDescent="0.3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row>
    <row r="281" spans="1:46" x14ac:dyDescent="0.3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row>
    <row r="282" spans="1:46" x14ac:dyDescent="0.3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row>
    <row r="283" spans="1:46" x14ac:dyDescent="0.3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row>
    <row r="284" spans="1:46" x14ac:dyDescent="0.3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row>
    <row r="285" spans="1:46" x14ac:dyDescent="0.3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row>
    <row r="286" spans="1:46" x14ac:dyDescent="0.3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row>
    <row r="287" spans="1:46" x14ac:dyDescent="0.3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row>
    <row r="288" spans="1:46" x14ac:dyDescent="0.3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row>
    <row r="289" spans="1:46" x14ac:dyDescent="0.3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row>
    <row r="290" spans="1:46" x14ac:dyDescent="0.3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row>
    <row r="291" spans="1:46" x14ac:dyDescent="0.3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row>
    <row r="292" spans="1:46" x14ac:dyDescent="0.3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row>
    <row r="293" spans="1:46" x14ac:dyDescent="0.3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row>
    <row r="294" spans="1:46" x14ac:dyDescent="0.3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row>
    <row r="295" spans="1:46" x14ac:dyDescent="0.3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row>
    <row r="296" spans="1:46" x14ac:dyDescent="0.3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row>
    <row r="297" spans="1:46" x14ac:dyDescent="0.3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row>
    <row r="298" spans="1:46" x14ac:dyDescent="0.3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row>
    <row r="299" spans="1:46" x14ac:dyDescent="0.3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row>
    <row r="300" spans="1:46" x14ac:dyDescent="0.3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row>
    <row r="301" spans="1:46" x14ac:dyDescent="0.3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row>
    <row r="302" spans="1:46" x14ac:dyDescent="0.3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row>
    <row r="303" spans="1:46" x14ac:dyDescent="0.3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row>
    <row r="304" spans="1:46" x14ac:dyDescent="0.3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row>
    <row r="305" spans="1:46" x14ac:dyDescent="0.3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row>
    <row r="306" spans="1:46" x14ac:dyDescent="0.3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row>
    <row r="307" spans="1:46" x14ac:dyDescent="0.3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row>
    <row r="308" spans="1:46" x14ac:dyDescent="0.3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row>
    <row r="309" spans="1:46" x14ac:dyDescent="0.3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row>
    <row r="310" spans="1:46" x14ac:dyDescent="0.3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row>
    <row r="311" spans="1:46" x14ac:dyDescent="0.3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row>
    <row r="312" spans="1:46" x14ac:dyDescent="0.3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row>
    <row r="313" spans="1:46" x14ac:dyDescent="0.3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row>
    <row r="314" spans="1:46" x14ac:dyDescent="0.3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row>
    <row r="315" spans="1:46" x14ac:dyDescent="0.3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row>
    <row r="316" spans="1:46" x14ac:dyDescent="0.3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row>
    <row r="317" spans="1:46" x14ac:dyDescent="0.3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row>
    <row r="318" spans="1:46" x14ac:dyDescent="0.3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row>
    <row r="319" spans="1:46" x14ac:dyDescent="0.3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row>
    <row r="320" spans="1:46" x14ac:dyDescent="0.3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row>
    <row r="321" spans="1:46" x14ac:dyDescent="0.3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row>
    <row r="322" spans="1:46" x14ac:dyDescent="0.3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row>
    <row r="323" spans="1:46" x14ac:dyDescent="0.3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row>
    <row r="324" spans="1:46" x14ac:dyDescent="0.3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row>
    <row r="325" spans="1:46" x14ac:dyDescent="0.3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row>
    <row r="326" spans="1:46" x14ac:dyDescent="0.3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row>
    <row r="327" spans="1:46" x14ac:dyDescent="0.3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row>
    <row r="328" spans="1:46" x14ac:dyDescent="0.3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row>
    <row r="329" spans="1:46" x14ac:dyDescent="0.3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row>
    <row r="330" spans="1:46" x14ac:dyDescent="0.3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row>
    <row r="331" spans="1:46" x14ac:dyDescent="0.3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row>
    <row r="332" spans="1:46" x14ac:dyDescent="0.3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row>
    <row r="333" spans="1:46" x14ac:dyDescent="0.3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row>
    <row r="334" spans="1:46" x14ac:dyDescent="0.3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row>
    <row r="335" spans="1:46" x14ac:dyDescent="0.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row>
    <row r="336" spans="1:46" x14ac:dyDescent="0.3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row>
    <row r="337" spans="1:46" x14ac:dyDescent="0.3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row>
    <row r="338" spans="1:46" x14ac:dyDescent="0.3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row>
    <row r="339" spans="1:46" x14ac:dyDescent="0.3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row>
    <row r="340" spans="1:46" x14ac:dyDescent="0.3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row>
    <row r="341" spans="1:46" x14ac:dyDescent="0.3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row>
    <row r="342" spans="1:46" x14ac:dyDescent="0.3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row>
    <row r="343" spans="1:46" x14ac:dyDescent="0.3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row>
    <row r="344" spans="1:46" x14ac:dyDescent="0.3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row>
    <row r="345" spans="1:46" x14ac:dyDescent="0.3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row>
    <row r="346" spans="1:46" x14ac:dyDescent="0.3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row>
    <row r="347" spans="1:46" x14ac:dyDescent="0.3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row>
    <row r="348" spans="1:46" x14ac:dyDescent="0.3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row>
    <row r="349" spans="1:46" x14ac:dyDescent="0.3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row>
    <row r="350" spans="1:46" x14ac:dyDescent="0.3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row>
    <row r="351" spans="1:46" x14ac:dyDescent="0.3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row>
    <row r="352" spans="1:46" x14ac:dyDescent="0.3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row>
    <row r="353" spans="1:46" x14ac:dyDescent="0.3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row>
    <row r="354" spans="1:46" x14ac:dyDescent="0.3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row>
    <row r="355" spans="1:46" x14ac:dyDescent="0.3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row>
    <row r="356" spans="1:46" x14ac:dyDescent="0.3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row>
    <row r="357" spans="1:46" x14ac:dyDescent="0.3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row>
    <row r="358" spans="1:46" x14ac:dyDescent="0.3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row>
    <row r="359" spans="1:46" x14ac:dyDescent="0.3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row>
    <row r="360" spans="1:46" x14ac:dyDescent="0.3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row>
    <row r="361" spans="1:46" x14ac:dyDescent="0.3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row>
    <row r="362" spans="1:46" x14ac:dyDescent="0.3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row>
    <row r="363" spans="1:46" x14ac:dyDescent="0.3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row>
    <row r="364" spans="1:46" x14ac:dyDescent="0.3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row>
    <row r="365" spans="1:46" x14ac:dyDescent="0.3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row>
    <row r="366" spans="1:46" x14ac:dyDescent="0.3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row>
    <row r="367" spans="1:46" x14ac:dyDescent="0.3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row>
    <row r="368" spans="1:46" x14ac:dyDescent="0.3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row>
    <row r="369" spans="1:46" x14ac:dyDescent="0.3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row>
    <row r="370" spans="1:46" x14ac:dyDescent="0.3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row>
    <row r="371" spans="1:46" x14ac:dyDescent="0.3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row>
    <row r="372" spans="1:46" x14ac:dyDescent="0.3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row>
    <row r="373" spans="1:46" x14ac:dyDescent="0.3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row>
    <row r="374" spans="1:46" x14ac:dyDescent="0.3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row>
    <row r="375" spans="1:46" x14ac:dyDescent="0.3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row>
    <row r="376" spans="1:46" x14ac:dyDescent="0.3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row>
    <row r="377" spans="1:46" x14ac:dyDescent="0.3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row>
    <row r="378" spans="1:46" x14ac:dyDescent="0.3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row>
    <row r="379" spans="1:46" x14ac:dyDescent="0.3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row>
    <row r="380" spans="1:46" x14ac:dyDescent="0.3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row>
    <row r="381" spans="1:46" x14ac:dyDescent="0.3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row>
    <row r="382" spans="1:46" x14ac:dyDescent="0.3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row>
    <row r="383" spans="1:46" x14ac:dyDescent="0.3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row>
    <row r="384" spans="1:46" x14ac:dyDescent="0.3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row>
    <row r="385" spans="1:46" x14ac:dyDescent="0.3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row>
    <row r="386" spans="1:46" x14ac:dyDescent="0.3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row>
    <row r="387" spans="1:46" x14ac:dyDescent="0.3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row>
    <row r="388" spans="1:46" x14ac:dyDescent="0.3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row>
    <row r="389" spans="1:46" x14ac:dyDescent="0.3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row>
    <row r="390" spans="1:46" x14ac:dyDescent="0.3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row>
    <row r="391" spans="1:46" x14ac:dyDescent="0.3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row>
    <row r="392" spans="1:46" x14ac:dyDescent="0.3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row>
    <row r="393" spans="1:46" x14ac:dyDescent="0.3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row>
    <row r="394" spans="1:46" x14ac:dyDescent="0.3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row>
    <row r="395" spans="1:46" x14ac:dyDescent="0.3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row>
    <row r="396" spans="1:46" x14ac:dyDescent="0.3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row>
    <row r="397" spans="1:46" x14ac:dyDescent="0.3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row>
    <row r="398" spans="1:46" x14ac:dyDescent="0.3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row>
    <row r="399" spans="1:46" x14ac:dyDescent="0.3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row>
    <row r="400" spans="1:46" x14ac:dyDescent="0.3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row>
    <row r="401" spans="1:46" x14ac:dyDescent="0.3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row>
    <row r="402" spans="1:46" x14ac:dyDescent="0.3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row>
    <row r="403" spans="1:46" x14ac:dyDescent="0.3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row>
    <row r="404" spans="1:46" x14ac:dyDescent="0.3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row>
    <row r="405" spans="1:46" x14ac:dyDescent="0.3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row>
    <row r="406" spans="1:46" x14ac:dyDescent="0.3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row>
    <row r="407" spans="1:46" x14ac:dyDescent="0.3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row>
    <row r="408" spans="1:46" x14ac:dyDescent="0.3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row>
    <row r="409" spans="1:46" x14ac:dyDescent="0.3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row>
    <row r="410" spans="1:46" x14ac:dyDescent="0.3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row>
    <row r="411" spans="1:46" x14ac:dyDescent="0.3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row>
    <row r="412" spans="1:46" x14ac:dyDescent="0.3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row>
    <row r="413" spans="1:46" x14ac:dyDescent="0.3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row>
    <row r="414" spans="1:46" x14ac:dyDescent="0.3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row>
    <row r="415" spans="1:46" x14ac:dyDescent="0.3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row>
    <row r="416" spans="1:46" x14ac:dyDescent="0.3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row>
    <row r="417" spans="1:46" x14ac:dyDescent="0.3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row>
    <row r="418" spans="1:46" x14ac:dyDescent="0.3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row>
    <row r="419" spans="1:46" x14ac:dyDescent="0.3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row>
    <row r="420" spans="1:46" x14ac:dyDescent="0.3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row>
    <row r="421" spans="1:46" x14ac:dyDescent="0.3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row>
    <row r="422" spans="1:46" x14ac:dyDescent="0.3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row>
    <row r="423" spans="1:46" x14ac:dyDescent="0.3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row>
    <row r="424" spans="1:46" x14ac:dyDescent="0.3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row>
    <row r="425" spans="1:46" x14ac:dyDescent="0.3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row>
    <row r="426" spans="1:46" x14ac:dyDescent="0.3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row>
    <row r="427" spans="1:46" x14ac:dyDescent="0.3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row>
    <row r="428" spans="1:46" x14ac:dyDescent="0.3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row>
    <row r="429" spans="1:46" x14ac:dyDescent="0.3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row>
    <row r="430" spans="1:46" x14ac:dyDescent="0.3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row>
    <row r="431" spans="1:46" x14ac:dyDescent="0.3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row>
    <row r="432" spans="1:46" x14ac:dyDescent="0.3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row>
    <row r="433" spans="1:46" x14ac:dyDescent="0.3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row>
    <row r="434" spans="1:46" x14ac:dyDescent="0.3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row>
    <row r="435" spans="1:46" x14ac:dyDescent="0.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row>
    <row r="436" spans="1:46" x14ac:dyDescent="0.3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row>
    <row r="437" spans="1:46" x14ac:dyDescent="0.3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row>
    <row r="438" spans="1:46" x14ac:dyDescent="0.3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row>
    <row r="439" spans="1:46" x14ac:dyDescent="0.3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row>
    <row r="440" spans="1:46" x14ac:dyDescent="0.3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row>
    <row r="441" spans="1:46" x14ac:dyDescent="0.3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row>
    <row r="442" spans="1:46" x14ac:dyDescent="0.3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row>
    <row r="443" spans="1:46" x14ac:dyDescent="0.3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row>
    <row r="444" spans="1:46" x14ac:dyDescent="0.3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row>
    <row r="445" spans="1:46" x14ac:dyDescent="0.3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row>
    <row r="446" spans="1:46" x14ac:dyDescent="0.3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row>
    <row r="447" spans="1:46" x14ac:dyDescent="0.3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row>
    <row r="448" spans="1:46" x14ac:dyDescent="0.3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row>
    <row r="449" spans="1:46" x14ac:dyDescent="0.3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row>
    <row r="450" spans="1:46" x14ac:dyDescent="0.3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row>
    <row r="451" spans="1:46" x14ac:dyDescent="0.3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row>
    <row r="452" spans="1:46" x14ac:dyDescent="0.3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row>
    <row r="453" spans="1:46" x14ac:dyDescent="0.3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row>
    <row r="454" spans="1:46" x14ac:dyDescent="0.3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row>
    <row r="455" spans="1:46" x14ac:dyDescent="0.3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row>
    <row r="456" spans="1:46" x14ac:dyDescent="0.3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row>
    <row r="457" spans="1:46" x14ac:dyDescent="0.3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row>
    <row r="458" spans="1:46" x14ac:dyDescent="0.3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row>
    <row r="459" spans="1:46" x14ac:dyDescent="0.3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row>
    <row r="460" spans="1:46" x14ac:dyDescent="0.3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row>
    <row r="461" spans="1:46" x14ac:dyDescent="0.3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row>
    <row r="462" spans="1:46" x14ac:dyDescent="0.3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row>
    <row r="463" spans="1:46" x14ac:dyDescent="0.3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row>
    <row r="464" spans="1:46" x14ac:dyDescent="0.3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row>
    <row r="465" spans="1:46" x14ac:dyDescent="0.3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row>
    <row r="466" spans="1:46" x14ac:dyDescent="0.3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row>
    <row r="467" spans="1:46" x14ac:dyDescent="0.3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row>
    <row r="468" spans="1:46" x14ac:dyDescent="0.3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row>
    <row r="469" spans="1:46" x14ac:dyDescent="0.3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row>
    <row r="470" spans="1:46" x14ac:dyDescent="0.3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row>
    <row r="471" spans="1:46" x14ac:dyDescent="0.3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row>
    <row r="472" spans="1:46" x14ac:dyDescent="0.3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row>
    <row r="473" spans="1:46" x14ac:dyDescent="0.3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row>
    <row r="474" spans="1:46" x14ac:dyDescent="0.3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row>
    <row r="475" spans="1:46" x14ac:dyDescent="0.3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row>
    <row r="476" spans="1:46" x14ac:dyDescent="0.3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row>
    <row r="477" spans="1:46" x14ac:dyDescent="0.3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row>
    <row r="478" spans="1:46" x14ac:dyDescent="0.3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row>
    <row r="479" spans="1:46" x14ac:dyDescent="0.3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row>
    <row r="480" spans="1:46" x14ac:dyDescent="0.3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row>
    <row r="481" spans="1:46" x14ac:dyDescent="0.3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row>
    <row r="482" spans="1:46" x14ac:dyDescent="0.3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row>
    <row r="483" spans="1:46" x14ac:dyDescent="0.3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row>
    <row r="484" spans="1:46" x14ac:dyDescent="0.3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row>
    <row r="485" spans="1:46" x14ac:dyDescent="0.3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row>
    <row r="486" spans="1:46" x14ac:dyDescent="0.3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row>
    <row r="487" spans="1:46" x14ac:dyDescent="0.3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row>
    <row r="488" spans="1:46" x14ac:dyDescent="0.3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row>
    <row r="489" spans="1:46" x14ac:dyDescent="0.3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row>
    <row r="490" spans="1:46" x14ac:dyDescent="0.3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row>
    <row r="491" spans="1:46" x14ac:dyDescent="0.3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row>
    <row r="492" spans="1:46" x14ac:dyDescent="0.3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row>
    <row r="493" spans="1:46" x14ac:dyDescent="0.3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row>
    <row r="494" spans="1:46" x14ac:dyDescent="0.3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row>
    <row r="495" spans="1:46" x14ac:dyDescent="0.3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row>
    <row r="496" spans="1:46" x14ac:dyDescent="0.3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row>
    <row r="497" spans="1:46" x14ac:dyDescent="0.3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row>
    <row r="498" spans="1:46" x14ac:dyDescent="0.3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row>
    <row r="499" spans="1:46" x14ac:dyDescent="0.3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row>
    <row r="500" spans="1:46" x14ac:dyDescent="0.3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row>
    <row r="501" spans="1:46" x14ac:dyDescent="0.3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row>
    <row r="502" spans="1:46" x14ac:dyDescent="0.3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row>
    <row r="503" spans="1:46" x14ac:dyDescent="0.3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row>
    <row r="504" spans="1:46" x14ac:dyDescent="0.3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row>
    <row r="505" spans="1:46" x14ac:dyDescent="0.3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row>
    <row r="506" spans="1:46" x14ac:dyDescent="0.3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row>
    <row r="507" spans="1:46" x14ac:dyDescent="0.3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row>
    <row r="508" spans="1:46" x14ac:dyDescent="0.3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row>
    <row r="509" spans="1:46" x14ac:dyDescent="0.3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row>
    <row r="510" spans="1:46" x14ac:dyDescent="0.3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row>
    <row r="511" spans="1:46" x14ac:dyDescent="0.3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row>
    <row r="512" spans="1:46" x14ac:dyDescent="0.3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row>
    <row r="513" spans="1:46" x14ac:dyDescent="0.3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row>
    <row r="514" spans="1:46" x14ac:dyDescent="0.3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row>
    <row r="515" spans="1:46" x14ac:dyDescent="0.3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row>
    <row r="516" spans="1:46" x14ac:dyDescent="0.3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row>
    <row r="517" spans="1:46" x14ac:dyDescent="0.3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row>
    <row r="518" spans="1:46" x14ac:dyDescent="0.3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row>
    <row r="519" spans="1:46" x14ac:dyDescent="0.3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row>
    <row r="520" spans="1:46" x14ac:dyDescent="0.3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row>
    <row r="521" spans="1:46" x14ac:dyDescent="0.3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row>
    <row r="522" spans="1:46" x14ac:dyDescent="0.3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row>
    <row r="523" spans="1:46" x14ac:dyDescent="0.3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row>
    <row r="524" spans="1:46" x14ac:dyDescent="0.3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row>
    <row r="525" spans="1:46" x14ac:dyDescent="0.3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row>
    <row r="526" spans="1:46" x14ac:dyDescent="0.3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row>
    <row r="527" spans="1:46" x14ac:dyDescent="0.3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row>
    <row r="528" spans="1:46" x14ac:dyDescent="0.3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row>
    <row r="529" spans="1:46" x14ac:dyDescent="0.3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row>
    <row r="530" spans="1:46" x14ac:dyDescent="0.3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row>
    <row r="531" spans="1:46" x14ac:dyDescent="0.3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row>
    <row r="532" spans="1:46" x14ac:dyDescent="0.3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row>
    <row r="533" spans="1:46" x14ac:dyDescent="0.3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row>
    <row r="534" spans="1:46" x14ac:dyDescent="0.3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row>
    <row r="535" spans="1:46" x14ac:dyDescent="0.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row>
    <row r="536" spans="1:46" x14ac:dyDescent="0.3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row>
    <row r="537" spans="1:46" x14ac:dyDescent="0.3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row>
    <row r="538" spans="1:46" x14ac:dyDescent="0.3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row>
    <row r="539" spans="1:46" x14ac:dyDescent="0.3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row>
    <row r="540" spans="1:46" x14ac:dyDescent="0.3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row>
    <row r="541" spans="1:46" x14ac:dyDescent="0.3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row>
    <row r="542" spans="1:46" x14ac:dyDescent="0.3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row>
    <row r="543" spans="1:46" x14ac:dyDescent="0.3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row>
    <row r="544" spans="1:46" x14ac:dyDescent="0.3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row>
    <row r="545" spans="1:46" x14ac:dyDescent="0.3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row>
    <row r="546" spans="1:46" x14ac:dyDescent="0.3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row>
    <row r="547" spans="1:46" x14ac:dyDescent="0.3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row>
    <row r="548" spans="1:46" x14ac:dyDescent="0.3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row>
    <row r="549" spans="1:46" x14ac:dyDescent="0.3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row>
    <row r="550" spans="1:46" x14ac:dyDescent="0.3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row>
    <row r="551" spans="1:46" x14ac:dyDescent="0.3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row>
    <row r="552" spans="1:46" x14ac:dyDescent="0.3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row>
    <row r="553" spans="1:46" x14ac:dyDescent="0.3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row>
    <row r="554" spans="1:46" x14ac:dyDescent="0.3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row>
    <row r="555" spans="1:46" x14ac:dyDescent="0.3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row>
    <row r="556" spans="1:46" x14ac:dyDescent="0.3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row>
    <row r="557" spans="1:46" x14ac:dyDescent="0.3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row>
    <row r="558" spans="1:46" x14ac:dyDescent="0.3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row>
    <row r="559" spans="1:46" x14ac:dyDescent="0.3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row>
    <row r="560" spans="1:46" x14ac:dyDescent="0.3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row>
    <row r="561" spans="1:46" x14ac:dyDescent="0.3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row>
    <row r="562" spans="1:46" x14ac:dyDescent="0.3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row>
    <row r="563" spans="1:46" x14ac:dyDescent="0.3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row>
    <row r="564" spans="1:46" x14ac:dyDescent="0.3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row>
    <row r="565" spans="1:46" x14ac:dyDescent="0.3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row>
    <row r="566" spans="1:46" x14ac:dyDescent="0.3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row>
    <row r="567" spans="1:46" x14ac:dyDescent="0.3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row>
    <row r="568" spans="1:46" x14ac:dyDescent="0.3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row>
    <row r="569" spans="1:46" x14ac:dyDescent="0.3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row>
    <row r="570" spans="1:46" x14ac:dyDescent="0.3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row>
    <row r="571" spans="1:46" x14ac:dyDescent="0.3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row>
    <row r="572" spans="1:46" x14ac:dyDescent="0.3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row>
    <row r="573" spans="1:46" x14ac:dyDescent="0.3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row>
    <row r="574" spans="1:46" x14ac:dyDescent="0.3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65261BBA-025B-4763-BB10-2DEE0ADACB9A}">
  <ds:schemaRefs/>
</ds:datastoreItem>
</file>

<file path=customXml/itemProps2.xml><?xml version="1.0" encoding="utf-8"?>
<ds:datastoreItem xmlns:ds="http://schemas.openxmlformats.org/officeDocument/2006/customXml" ds:itemID="{2582B2F1-54BA-48F8-B57C-158877C2A45E}">
  <ds:schemaRefs/>
</ds:datastoreItem>
</file>

<file path=customXml/itemProps3.xml><?xml version="1.0" encoding="utf-8"?>
<ds:datastoreItem xmlns:ds="http://schemas.openxmlformats.org/officeDocument/2006/customXml" ds:itemID="{5DE524D2-827F-43BA-9E90-02DA07705EDB}">
  <ds:schemaRefs/>
</ds:datastoreItem>
</file>

<file path=customXml/itemProps4.xml><?xml version="1.0" encoding="utf-8"?>
<ds:datastoreItem xmlns:ds="http://schemas.openxmlformats.org/officeDocument/2006/customXml" ds:itemID="{3BBEAF46-48B1-4548-8B26-A2AEE28F8FD8}">
  <ds:schemaRefs/>
</ds:datastoreItem>
</file>

<file path=customXml/itemProps5.xml><?xml version="1.0" encoding="utf-8"?>
<ds:datastoreItem xmlns:ds="http://schemas.openxmlformats.org/officeDocument/2006/customXml" ds:itemID="{DA03A90F-5462-459D-AF90-251B3FABEBC2}">
  <ds:schemaRefs/>
</ds:datastoreItem>
</file>

<file path=customXml/itemProps6.xml><?xml version="1.0" encoding="utf-8"?>
<ds:datastoreItem xmlns:ds="http://schemas.openxmlformats.org/officeDocument/2006/customXml" ds:itemID="{C804B361-F7C3-43BC-8F83-E19DAAF3A2F2}">
  <ds:schemaRefs/>
</ds:datastoreItem>
</file>

<file path=customXml/itemProps7.xml><?xml version="1.0" encoding="utf-8"?>
<ds:datastoreItem xmlns:ds="http://schemas.openxmlformats.org/officeDocument/2006/customXml" ds:itemID="{6DB62CD8-1D4C-459C-BE58-22044887A8D5}">
  <ds:schemaRefs/>
</ds:datastoreItem>
</file>

<file path=customXml/itemProps8.xml><?xml version="1.0" encoding="utf-8"?>
<ds:datastoreItem xmlns:ds="http://schemas.openxmlformats.org/officeDocument/2006/customXml" ds:itemID="{9902A934-CA0B-43F6-9D4D-6DEDA5B5BD12}">
  <ds:schemaRefs/>
</ds:datastoreItem>
</file>

<file path=customXml/itemProps9.xml><?xml version="1.0" encoding="utf-8"?>
<ds:datastoreItem xmlns:ds="http://schemas.openxmlformats.org/officeDocument/2006/customXml" ds:itemID="{A3694FAC-0926-46E8-85AF-B9C2A24A39EB}">
  <ds:schemaRefs/>
</ds:datastoreItem>
</file>

<file path=customXml/itemProps10.xml><?xml version="1.0" encoding="utf-8"?>
<ds:datastoreItem xmlns:ds="http://schemas.openxmlformats.org/officeDocument/2006/customXml" ds:itemID="{3A5B5D46-8670-43D8-93EA-2A273E2F719C}">
  <ds:schemaRefs/>
</ds:datastoreItem>
</file>

<file path=customXml/itemProps11.xml><?xml version="1.0" encoding="utf-8"?>
<ds:datastoreItem xmlns:ds="http://schemas.openxmlformats.org/officeDocument/2006/customXml" ds:itemID="{CAEB9CB5-93B5-427F-B3F6-3F3CE8B7C256}">
  <ds:schemaRefs/>
</ds:datastoreItem>
</file>

<file path=customXml/itemProps12.xml><?xml version="1.0" encoding="utf-8"?>
<ds:datastoreItem xmlns:ds="http://schemas.openxmlformats.org/officeDocument/2006/customXml" ds:itemID="{71E8B102-915C-4480-9EAB-39212D0C9A76}">
  <ds:schemaRefs/>
</ds:datastoreItem>
</file>

<file path=customXml/itemProps13.xml><?xml version="1.0" encoding="utf-8"?>
<ds:datastoreItem xmlns:ds="http://schemas.openxmlformats.org/officeDocument/2006/customXml" ds:itemID="{D3E0C98D-0824-468F-BDAB-1C990AF5696A}">
  <ds:schemaRefs/>
</ds:datastoreItem>
</file>

<file path=customXml/itemProps14.xml><?xml version="1.0" encoding="utf-8"?>
<ds:datastoreItem xmlns:ds="http://schemas.openxmlformats.org/officeDocument/2006/customXml" ds:itemID="{3CA5B564-6C4A-4059-84B0-8AB673F74927}">
  <ds:schemaRefs/>
</ds:datastoreItem>
</file>

<file path=customXml/itemProps15.xml><?xml version="1.0" encoding="utf-8"?>
<ds:datastoreItem xmlns:ds="http://schemas.openxmlformats.org/officeDocument/2006/customXml" ds:itemID="{AB69A8F4-DE8D-4282-BC91-11084727FC10}">
  <ds:schemaRefs/>
</ds:datastoreItem>
</file>

<file path=customXml/itemProps16.xml><?xml version="1.0" encoding="utf-8"?>
<ds:datastoreItem xmlns:ds="http://schemas.openxmlformats.org/officeDocument/2006/customXml" ds:itemID="{9D154E57-73DC-422B-BD00-EC143A35B7AA}">
  <ds:schemaRefs/>
</ds:datastoreItem>
</file>

<file path=customXml/itemProps17.xml><?xml version="1.0" encoding="utf-8"?>
<ds:datastoreItem xmlns:ds="http://schemas.openxmlformats.org/officeDocument/2006/customXml" ds:itemID="{C20DE00F-CE45-4A7F-9B5D-15112D5D5DFA}">
  <ds:schemaRefs>
    <ds:schemaRef ds:uri="http://schemas.microsoft.com/DataMashup"/>
  </ds:schemaRefs>
</ds:datastoreItem>
</file>

<file path=customXml/itemProps18.xml><?xml version="1.0" encoding="utf-8"?>
<ds:datastoreItem xmlns:ds="http://schemas.openxmlformats.org/officeDocument/2006/customXml" ds:itemID="{9BA33423-C3A3-412A-A264-3DBBEBBC170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Rport</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dike</dc:creator>
  <cp:lastModifiedBy>Abhishek dike</cp:lastModifiedBy>
  <dcterms:created xsi:type="dcterms:W3CDTF">2026-09-14T03:08:15Z</dcterms:created>
  <dcterms:modified xsi:type="dcterms:W3CDTF">2026-10-14T13:58:46Z</dcterms:modified>
</cp:coreProperties>
</file>